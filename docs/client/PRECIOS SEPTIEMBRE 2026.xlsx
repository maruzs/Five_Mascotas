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maria\Desktop\Software\Five_Mascotas\docs\client\"/>
    </mc:Choice>
  </mc:AlternateContent>
  <xr:revisionPtr revIDLastSave="0" documentId="13_ncr:1_{50BC65AC-7324-47A4-A073-183504000501}" xr6:coauthVersionLast="47" xr6:coauthVersionMax="47" xr10:uidLastSave="{00000000-0000-0000-0000-000000000000}"/>
  <bookViews>
    <workbookView xWindow="-120" yWindow="-120" windowWidth="29040" windowHeight="15720" tabRatio="903" firstSheet="1" activeTab="1" xr2:uid="{00000000-000D-0000-FFFF-FFFF00000000}"/>
  </bookViews>
  <sheets>
    <sheet name="INDICE" sheetId="3" r:id="rId1"/>
    <sheet name="1.- GEPSA" sheetId="2" r:id="rId2"/>
    <sheet name="2.- TRESKO" sheetId="4" r:id="rId3"/>
    <sheet name="3.- CAROZZI" sheetId="5" r:id="rId4"/>
    <sheet name="5.- CAUPOLICAN" sheetId="7" r:id="rId5"/>
    <sheet name="4.- PROA" sheetId="6" r:id="rId6"/>
    <sheet name="6.- GORCHEN" sheetId="8" r:id="rId7"/>
    <sheet name="7.- ALCA" sheetId="9" r:id="rId8"/>
    <sheet name="8.- NB" sheetId="11" r:id="rId9"/>
    <sheet name="9.- COOPRINSEN" sheetId="29" r:id="rId10"/>
    <sheet name="10.- PURINA" sheetId="12" r:id="rId11"/>
    <sheet name="Hoja7" sheetId="42" r:id="rId12"/>
    <sheet name="10.5.- PURINA PROPLAN" sheetId="41" r:id="rId13"/>
    <sheet name="11.- DRAG PHARMA" sheetId="13" r:id="rId14"/>
    <sheet name="12.- FRAGUS" sheetId="14" r:id="rId15"/>
    <sheet name="13.-ALLENDES" sheetId="15" r:id="rId16"/>
    <sheet name="14.- FREE GO" sheetId="17" r:id="rId17"/>
    <sheet name="Hoja2" sheetId="40" r:id="rId18"/>
    <sheet name="15.- PUNTA DE CORTES" sheetId="19" r:id="rId19"/>
    <sheet name="16.- AGROVET" sheetId="20" r:id="rId20"/>
    <sheet name="17,- ARENAS" sheetId="21" r:id="rId21"/>
    <sheet name="18,- ANTIPARASITARIOS" sheetId="22" r:id="rId22"/>
    <sheet name="19,- SNACK" sheetId="38" r:id="rId23"/>
    <sheet name="20,- HRAZ" sheetId="24" r:id="rId24"/>
    <sheet name="21,- JUGUETES" sheetId="39" r:id="rId25"/>
    <sheet name="NUTRINGEN" sheetId="37" r:id="rId26"/>
    <sheet name="21,- MOR" sheetId="26" r:id="rId27"/>
    <sheet name="22,- NUTRIQUE" sheetId="27" r:id="rId28"/>
    <sheet name="BASE" sheetId="25" r:id="rId29"/>
    <sheet name="Hoja1" sheetId="28" r:id="rId30"/>
    <sheet name="Hoja3" sheetId="30" r:id="rId31"/>
    <sheet name="Hoja4" sheetId="31" r:id="rId32"/>
    <sheet name="Hoja6" sheetId="33" r:id="rId33"/>
    <sheet name="Hoja5" sheetId="32" r:id="rId34"/>
    <sheet name="Hoja8" sheetId="35" r:id="rId3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38" l="1"/>
  <c r="H68" i="38" l="1"/>
  <c r="F14" i="22" l="1"/>
  <c r="H14" i="41" l="1"/>
  <c r="I7" i="41" l="1"/>
  <c r="K7" i="41" s="1"/>
  <c r="I11" i="41"/>
  <c r="K11" i="41" s="1"/>
  <c r="I15" i="41"/>
  <c r="K15" i="41" s="1"/>
  <c r="I19" i="41"/>
  <c r="K19" i="41" s="1"/>
  <c r="H4" i="41"/>
  <c r="I4" i="41" s="1"/>
  <c r="K4" i="41" s="1"/>
  <c r="H5" i="41"/>
  <c r="I5" i="41" s="1"/>
  <c r="K5" i="41" s="1"/>
  <c r="H6" i="41"/>
  <c r="I6" i="41" s="1"/>
  <c r="K6" i="41" s="1"/>
  <c r="H7" i="41"/>
  <c r="H8" i="41"/>
  <c r="I8" i="41" s="1"/>
  <c r="K8" i="41" s="1"/>
  <c r="H9" i="41"/>
  <c r="I9" i="41" s="1"/>
  <c r="K9" i="41" s="1"/>
  <c r="H10" i="41"/>
  <c r="I10" i="41" s="1"/>
  <c r="K10" i="41" s="1"/>
  <c r="H11" i="41"/>
  <c r="H12" i="41"/>
  <c r="I12" i="41" s="1"/>
  <c r="K12" i="41" s="1"/>
  <c r="H13" i="41"/>
  <c r="I13" i="41" s="1"/>
  <c r="K13" i="41" s="1"/>
  <c r="I14" i="41"/>
  <c r="K14" i="41" s="1"/>
  <c r="H15" i="41"/>
  <c r="H16" i="41"/>
  <c r="I16" i="41" s="1"/>
  <c r="K16" i="41" s="1"/>
  <c r="H17" i="41"/>
  <c r="I17" i="41" s="1"/>
  <c r="K17" i="41" s="1"/>
  <c r="H18" i="41"/>
  <c r="I18" i="41" s="1"/>
  <c r="K18" i="41" s="1"/>
  <c r="H19" i="41"/>
  <c r="H3" i="41"/>
  <c r="I3" i="41" s="1"/>
  <c r="K3" i="41" s="1"/>
  <c r="K21" i="41" l="1"/>
  <c r="H45" i="22"/>
  <c r="H48" i="22" s="1"/>
  <c r="K22" i="20" l="1"/>
  <c r="E24" i="20" l="1"/>
  <c r="E23" i="20"/>
  <c r="E22" i="20"/>
  <c r="E21" i="20"/>
  <c r="E20" i="20"/>
  <c r="E19" i="20"/>
  <c r="E18" i="20"/>
  <c r="E17" i="20"/>
  <c r="E16" i="20"/>
  <c r="E15" i="20"/>
  <c r="E13" i="20"/>
  <c r="E12" i="20"/>
  <c r="E11" i="20"/>
  <c r="E10" i="20"/>
  <c r="E9" i="20"/>
  <c r="E8" i="20"/>
  <c r="E7" i="20"/>
  <c r="E6" i="20"/>
  <c r="E5" i="20"/>
  <c r="E4" i="20"/>
  <c r="E3" i="20"/>
  <c r="L53" i="38" l="1"/>
  <c r="L3" i="24" l="1"/>
  <c r="I47" i="21" l="1"/>
  <c r="F21" i="38" l="1"/>
  <c r="F85" i="38"/>
  <c r="F86" i="38"/>
  <c r="K86" i="38"/>
  <c r="F87" i="38"/>
  <c r="H87" i="38" s="1"/>
  <c r="F88" i="38"/>
  <c r="K16" i="21" l="1"/>
  <c r="J24" i="37" l="1"/>
  <c r="N10" i="21" l="1"/>
  <c r="P10" i="21" s="1"/>
  <c r="R10" i="21" s="1"/>
  <c r="F11" i="28" l="1"/>
  <c r="F4" i="28"/>
  <c r="F6" i="28"/>
  <c r="F7" i="28"/>
  <c r="F8" i="28"/>
  <c r="F9" i="28"/>
  <c r="F5" i="28"/>
  <c r="J4" i="37" l="1"/>
  <c r="J5" i="37"/>
  <c r="J6" i="37"/>
  <c r="J7" i="37"/>
  <c r="J8" i="37"/>
  <c r="J9" i="37"/>
  <c r="J10" i="37"/>
  <c r="J11" i="37"/>
  <c r="J12" i="37"/>
  <c r="J13" i="37"/>
  <c r="J14" i="37"/>
  <c r="J15" i="37"/>
  <c r="J16" i="37"/>
  <c r="J17" i="37"/>
  <c r="J18" i="37"/>
  <c r="J19" i="37"/>
  <c r="J20" i="37"/>
  <c r="J21" i="37"/>
  <c r="M21" i="37" s="1"/>
  <c r="J22" i="37"/>
  <c r="J23" i="37"/>
  <c r="J25" i="37"/>
  <c r="J3" i="37"/>
  <c r="J21" i="8" l="1"/>
  <c r="G15" i="21" l="1"/>
</calcChain>
</file>

<file path=xl/sharedStrings.xml><?xml version="1.0" encoding="utf-8"?>
<sst xmlns="http://schemas.openxmlformats.org/spreadsheetml/2006/main" count="2157" uniqueCount="756">
  <si>
    <t>TRIGONO</t>
  </si>
  <si>
    <t>GATO</t>
  </si>
  <si>
    <t>TRIGONO GATO</t>
  </si>
  <si>
    <t>10KG</t>
  </si>
  <si>
    <t>PERRO</t>
  </si>
  <si>
    <t>BIO-CAT</t>
  </si>
  <si>
    <t>ADULTO</t>
  </si>
  <si>
    <t>ASKAT</t>
  </si>
  <si>
    <t>20KG</t>
  </si>
  <si>
    <t>CACHUPÍN</t>
  </si>
  <si>
    <t>CACHUPÍN ADULTO</t>
  </si>
  <si>
    <t>25KG</t>
  </si>
  <si>
    <t>CACHUPÍN CACHORRO</t>
  </si>
  <si>
    <t>CANITO</t>
  </si>
  <si>
    <t>PERRO ADULTO</t>
  </si>
  <si>
    <t>COMPINCHES PERRO ADULTO</t>
  </si>
  <si>
    <t>COMPINCHES GATO ADULTO</t>
  </si>
  <si>
    <t>EKOSCAT</t>
  </si>
  <si>
    <t>GATO ADULTO</t>
  </si>
  <si>
    <t>9KG</t>
  </si>
  <si>
    <t>REGAL PET</t>
  </si>
  <si>
    <t>18KG</t>
  </si>
  <si>
    <t>SABROCAT</t>
  </si>
  <si>
    <t xml:space="preserve">SABROCAT </t>
  </si>
  <si>
    <t>8KG</t>
  </si>
  <si>
    <t>SABROKAN</t>
  </si>
  <si>
    <t>TYSON</t>
  </si>
  <si>
    <t xml:space="preserve">GUAU FORTE </t>
  </si>
  <si>
    <t xml:space="preserve">PERRO </t>
  </si>
  <si>
    <t>ACOMER</t>
  </si>
  <si>
    <t>ACOMER CACHORRO</t>
  </si>
  <si>
    <t>ACOMER R/P</t>
  </si>
  <si>
    <t>ACOMER ADULTO</t>
  </si>
  <si>
    <t>ACOMER NATURAL</t>
  </si>
  <si>
    <t>22KG</t>
  </si>
  <si>
    <t>ACOMER GATO</t>
  </si>
  <si>
    <t>AMICI</t>
  </si>
  <si>
    <t>ADULTO CARNE</t>
  </si>
  <si>
    <t>CACHORRO</t>
  </si>
  <si>
    <t>GATO PESCADO</t>
  </si>
  <si>
    <t>GATO MIX</t>
  </si>
  <si>
    <t>15KG</t>
  </si>
  <si>
    <t>APPETIT</t>
  </si>
  <si>
    <t>APPETIT PERRO ADULTO PREMIUM</t>
  </si>
  <si>
    <t>APPETIT PERRO CACHORRO PREMIUM</t>
  </si>
  <si>
    <t>APPETIT PERRO SENIOR PREMIUM</t>
  </si>
  <si>
    <t>APPETIT PERRO RAZAS PEQUEÑAS PREMIUM</t>
  </si>
  <si>
    <t>3KG</t>
  </si>
  <si>
    <t>APPETIT GATO TODAS LAS EDADES PREMIUM</t>
  </si>
  <si>
    <t>CHAMPION</t>
  </si>
  <si>
    <t>CHAMPION ADULTO</t>
  </si>
  <si>
    <t>CHAMPION ADULTO RAZA PEQUEÑA</t>
  </si>
  <si>
    <t>CHAMPION SENIOR</t>
  </si>
  <si>
    <t>CHAMPION GATITO</t>
  </si>
  <si>
    <t>CHAMPION CAT</t>
  </si>
  <si>
    <t>GANACAN</t>
  </si>
  <si>
    <t>GANACAN CACHORRO</t>
  </si>
  <si>
    <t>GANACAN ADULTO CARNE</t>
  </si>
  <si>
    <t>GANACAN ADULTO MIX</t>
  </si>
  <si>
    <t>GANACAT</t>
  </si>
  <si>
    <t>GANACAT PESCADO</t>
  </si>
  <si>
    <t>GANACAT MIX</t>
  </si>
  <si>
    <t>MASKO</t>
  </si>
  <si>
    <t xml:space="preserve">MASKO GATO </t>
  </si>
  <si>
    <t>MASKO PERRO</t>
  </si>
  <si>
    <t>MASTER DOG</t>
  </si>
  <si>
    <t>MASTER DOG CACHORRO</t>
  </si>
  <si>
    <t>21KG</t>
  </si>
  <si>
    <t>OFERTA 27.000 AFUERA</t>
  </si>
  <si>
    <t>MASTER DOG ADULTO</t>
  </si>
  <si>
    <t>MASTER DOG ADULTO RAZAS PEQUEÑAS</t>
  </si>
  <si>
    <t>MASTER DOG SENIOR</t>
  </si>
  <si>
    <t>MASTER CAT</t>
  </si>
  <si>
    <t>MASTER CAT SALMÓN</t>
  </si>
  <si>
    <t>MASTER CAT CARNE</t>
  </si>
  <si>
    <t>MASTÍN</t>
  </si>
  <si>
    <t>MASTIN CACHORRO</t>
  </si>
  <si>
    <t>MASTIN ADULTO</t>
  </si>
  <si>
    <t>MASTIN SENIOR</t>
  </si>
  <si>
    <t xml:space="preserve">MASTIN SIGNATURE 15 KG </t>
  </si>
  <si>
    <t xml:space="preserve">15 KG </t>
  </si>
  <si>
    <t>MASTIN ADULTO RAZA PEQUEÑA</t>
  </si>
  <si>
    <t>KONGO</t>
  </si>
  <si>
    <t>KONGO ADULTO</t>
  </si>
  <si>
    <t>1,5KG</t>
  </si>
  <si>
    <t>KONGO CACHORRO</t>
  </si>
  <si>
    <t>KONGO RAZA PEQUEÑA</t>
  </si>
  <si>
    <t>KONGO GATO ADULTO PESCADO</t>
  </si>
  <si>
    <t>1KG</t>
  </si>
  <si>
    <t>KONGO GATO ADULTO POLLO</t>
  </si>
  <si>
    <t>KONGO GATITO</t>
  </si>
  <si>
    <t>NATURAL MEAT</t>
  </si>
  <si>
    <t>15KG+2KG</t>
  </si>
  <si>
    <t>NOMADE</t>
  </si>
  <si>
    <t>NOMADE ADULTO</t>
  </si>
  <si>
    <t>NOMADE CACHORRO</t>
  </si>
  <si>
    <t>NOMADE ADULTO RAZA PEQUEÑA</t>
  </si>
  <si>
    <t>NOMADE GATO</t>
  </si>
  <si>
    <t>VOLLER</t>
  </si>
  <si>
    <t>VOLLER ADULTO</t>
  </si>
  <si>
    <t>VOLLER CACHORRO</t>
  </si>
  <si>
    <t>VOLLER ADULTO RAZA PEQUEÑA</t>
  </si>
  <si>
    <t>VOLLER GATO</t>
  </si>
  <si>
    <t>COMPANY</t>
  </si>
  <si>
    <t xml:space="preserve">ADULTO </t>
  </si>
  <si>
    <t>20+3KG</t>
  </si>
  <si>
    <t>9 LIVES</t>
  </si>
  <si>
    <t>ADULTO PESCADO</t>
  </si>
  <si>
    <t>ADULTO HOGAREÑO</t>
  </si>
  <si>
    <t>15kg</t>
  </si>
  <si>
    <t>GATITO</t>
  </si>
  <si>
    <t>VORAZ</t>
  </si>
  <si>
    <t>BAVARO</t>
  </si>
  <si>
    <t>BAVARO FORCE ADULTO CACHORRO</t>
  </si>
  <si>
    <t>BAVARO TASK ADULTO</t>
  </si>
  <si>
    <t>BAVARO WORK ADULTO</t>
  </si>
  <si>
    <t>FELINNES</t>
  </si>
  <si>
    <t>FIT FÓRMULA</t>
  </si>
  <si>
    <t>FIT FÓRMULA CACHORRO</t>
  </si>
  <si>
    <t>FIT FÓRMULA ADULTO</t>
  </si>
  <si>
    <t>FIT FÓRMULA ADULTO RAZA PEQUEÑA</t>
  </si>
  <si>
    <t>FIT FÓRMULA SENIOR</t>
  </si>
  <si>
    <t>FIT FÓRMULA SENIOR RAZA PEQUEÑA</t>
  </si>
  <si>
    <t>FIT LIGHT</t>
  </si>
  <si>
    <t>FIT FÓRMULA GATO</t>
  </si>
  <si>
    <t>2KG</t>
  </si>
  <si>
    <t>FREE GO</t>
  </si>
  <si>
    <t>FREE GO ADULTO Y CACHORRO</t>
  </si>
  <si>
    <t>OPTIMUS</t>
  </si>
  <si>
    <t>ODWALLA</t>
  </si>
  <si>
    <t>ODWALLA ADULTO</t>
  </si>
  <si>
    <t>ODWALLA CACHORRO</t>
  </si>
  <si>
    <t>PEDIGREE</t>
  </si>
  <si>
    <t>SENIOR</t>
  </si>
  <si>
    <t>RAZAS PEQUEÑAS</t>
  </si>
  <si>
    <t>BOKATO</t>
  </si>
  <si>
    <t>ADULTO TRADICIONAL</t>
  </si>
  <si>
    <t>CACHORRO BOKATO</t>
  </si>
  <si>
    <t>GOLD</t>
  </si>
  <si>
    <t>PETTIT</t>
  </si>
  <si>
    <t>LADY</t>
  </si>
  <si>
    <t>VELOZ</t>
  </si>
  <si>
    <t>WHISKAS</t>
  </si>
  <si>
    <t>JOSI</t>
  </si>
  <si>
    <t>JOSICAT CRUNCHY ADULTO</t>
  </si>
  <si>
    <t>JOSICAT KITTEN</t>
  </si>
  <si>
    <t>1,9KG</t>
  </si>
  <si>
    <t xml:space="preserve">JOSICAT CRISPY DUCK </t>
  </si>
  <si>
    <t>JOSICAT CRISPY DUCK</t>
  </si>
  <si>
    <t>JOSICAT ESTERILIZADO CLASSIC</t>
  </si>
  <si>
    <t>JOSIDOG JUNIOR CACHORRO</t>
  </si>
  <si>
    <t>JOSIDOG REGULAR ADULTO</t>
  </si>
  <si>
    <t>JOSIDOG FAMILY ADULTO/CACHORRO</t>
  </si>
  <si>
    <t>JOSIDOG ACTIVE ADULTO</t>
  </si>
  <si>
    <t>JOSIDOG SOLIDO SENIOR</t>
  </si>
  <si>
    <t>KONGO GOLD</t>
  </si>
  <si>
    <t>KONGO ADULTO GOLD</t>
  </si>
  <si>
    <t>KONGO CACHORRO GOLD</t>
  </si>
  <si>
    <t>CAT CHOW ADULTO PESCADO</t>
  </si>
  <si>
    <t>24KG</t>
  </si>
  <si>
    <t>19,5kg</t>
  </si>
  <si>
    <t>CAT CHOW ADULTO CARNE</t>
  </si>
  <si>
    <t>CAT CHOW GATITO</t>
  </si>
  <si>
    <t>CAT CHOW ADULTO DELI MIX</t>
  </si>
  <si>
    <t>CAT CHOW ESTERILIZADOS</t>
  </si>
  <si>
    <t>19,5KG</t>
  </si>
  <si>
    <t>EXCELLENT GATO ADULTO</t>
  </si>
  <si>
    <t xml:space="preserve">7,5 KG </t>
  </si>
  <si>
    <t xml:space="preserve">EXCELLENT GATO ESTERILIZADO </t>
  </si>
  <si>
    <t xml:space="preserve">EXCELLENT GATO URINARY </t>
  </si>
  <si>
    <t>GATI PESCADO</t>
  </si>
  <si>
    <t>GATI PESCADO ARROZ</t>
  </si>
  <si>
    <t>GATI CARNE</t>
  </si>
  <si>
    <t>DOG CHOW CACHORRO RAZA MEDIANA Y GRANDE</t>
  </si>
  <si>
    <t xml:space="preserve">DOG CHOW CACHORRO RAZA MEDIANA Y GRANDE </t>
  </si>
  <si>
    <t xml:space="preserve">19,5 KG </t>
  </si>
  <si>
    <t>DOG CHOW ADULTO RAZA MEDIANA Y GRANDE</t>
  </si>
  <si>
    <t>DOG CHOW CACHORRO RAZA PEQUEÑA</t>
  </si>
  <si>
    <t>DOG CHOW ADULTO RAZA PEQUEÑA</t>
  </si>
  <si>
    <t xml:space="preserve">DOG CHOW ADULTO RAZA PEQUEÑA </t>
  </si>
  <si>
    <t>DOG CHOW SENIOR +7</t>
  </si>
  <si>
    <t>DOG CHOW CONTROL PESO</t>
  </si>
  <si>
    <t>EXCELLENT CACHORRO</t>
  </si>
  <si>
    <t>12KG</t>
  </si>
  <si>
    <t>EXCELLENT ADULTO CARNE</t>
  </si>
  <si>
    <t>EXCELLENT ADULTO SALMÓN</t>
  </si>
  <si>
    <t>EXCELLENT MANTENCIÓN</t>
  </si>
  <si>
    <t>DOKO CACHORRO</t>
  </si>
  <si>
    <t>DOKO ADULTO</t>
  </si>
  <si>
    <t>2,5KG</t>
  </si>
  <si>
    <t>10,1KG</t>
  </si>
  <si>
    <t>7,5KG</t>
  </si>
  <si>
    <t>MARCA</t>
  </si>
  <si>
    <t>FORMATO</t>
  </si>
  <si>
    <t>PRECIO</t>
  </si>
  <si>
    <t>JOSERA</t>
  </si>
  <si>
    <t>JOSERA KITTEN GATITO</t>
  </si>
  <si>
    <t>JOSERA DAILYCAT ADULTO</t>
  </si>
  <si>
    <t>JOSERA MARINESSE ADULTO</t>
  </si>
  <si>
    <t>JOSERA NATURECAT GATITO/ADULTO</t>
  </si>
  <si>
    <t>JOSERA NATURELLE ADULTO</t>
  </si>
  <si>
    <t>JOSERA CULINESSE ADULTO</t>
  </si>
  <si>
    <t>JOSERA KIDS CACHORRO MEDIANA/GRANDE</t>
  </si>
  <si>
    <t>12,5KG</t>
  </si>
  <si>
    <t>JOSERA FESTIVAL ADULTO MEDIANA/GRANDE</t>
  </si>
  <si>
    <t>JOSERA FIESTA PLUS</t>
  </si>
  <si>
    <t>JOSERA BALANCE SENIOR MEDIANA/GRANDE</t>
  </si>
  <si>
    <t>12,5KG..</t>
  </si>
  <si>
    <t>JOSERA MINIJUNIOR 5 x 900 G</t>
  </si>
  <si>
    <t>4,5KG</t>
  </si>
  <si>
    <t>JOSERA MINIWELL 5 X 900 G</t>
  </si>
  <si>
    <t>JOSERA MINIWELL ADULTO PEQUEÑA</t>
  </si>
  <si>
    <t>JOSERA MINISENIOR 5 x 900 G</t>
  </si>
  <si>
    <t>JOSERA YOUNG STAR CACHORRO S/CEREALES</t>
  </si>
  <si>
    <t>JOSERA ENTE&amp;KARTOFFEL MONOPROTEICO S/CEREALES PATO</t>
  </si>
  <si>
    <t>JOSERA LACHS&amp;KARTOFFEL MONOPROTEICO S/CEREAL SALMÓN</t>
  </si>
  <si>
    <t>JOSERA NATURE ENERGETIC S/CEREALES</t>
  </si>
  <si>
    <t>JOSERA LIGHT &amp; VITAL</t>
  </si>
  <si>
    <t>JOSERA SENSIPLUS</t>
  </si>
  <si>
    <t>JOSERA HIGH ENERGY</t>
  </si>
  <si>
    <t>MAGNIFICO</t>
  </si>
  <si>
    <t>MAGNIFICO PERRO</t>
  </si>
  <si>
    <t>Top Nutrition Perros Cachorros Small Breed</t>
  </si>
  <si>
    <t>Bulto 8 x 1Kg</t>
  </si>
  <si>
    <t>Bulto 4 x 3kg</t>
  </si>
  <si>
    <t>7,5 kg</t>
  </si>
  <si>
    <t>Top Nutrition Perros Adultos Small Breed</t>
  </si>
  <si>
    <t>Top Nutrition Perros Cachorros Medium Breed</t>
  </si>
  <si>
    <t>15 kg</t>
  </si>
  <si>
    <t>Top Nutrition Perros Adultos Medium Breed</t>
  </si>
  <si>
    <t>Top Nutrition Perros Cachorros Large Breed</t>
  </si>
  <si>
    <t>Top Nutrition Perros Adultos Large Breed</t>
  </si>
  <si>
    <t>25 kg</t>
  </si>
  <si>
    <t>Top Nutrition Perros Senior Raza pequeña</t>
  </si>
  <si>
    <t>7.5 kg</t>
  </si>
  <si>
    <t>Top Nutrition Perros Senior Raza med y grande</t>
  </si>
  <si>
    <t>Top Nutrition Kitten</t>
  </si>
  <si>
    <t>Bulto 6 x 2kg</t>
  </si>
  <si>
    <t>Top Nutrition Adultos Cat</t>
  </si>
  <si>
    <t>Top Nutrition Gato Senior</t>
  </si>
  <si>
    <t xml:space="preserve"> PERRO RAZA PEQUEÑA</t>
  </si>
  <si>
    <t xml:space="preserve"> PERRO RAZA MEDIANA</t>
  </si>
  <si>
    <t xml:space="preserve"> PERRO RAZA GRANDE</t>
  </si>
  <si>
    <t>PERRO RAZA SENIOR</t>
  </si>
  <si>
    <t>GATO SENIOR</t>
  </si>
  <si>
    <t>TOP NUTRITION</t>
  </si>
  <si>
    <t>INDICE</t>
  </si>
  <si>
    <t>MASCOTA</t>
  </si>
  <si>
    <t>CATEGORIA</t>
  </si>
  <si>
    <t>P.NORMAL</t>
  </si>
  <si>
    <t>P.ESPECIAL  X100</t>
  </si>
  <si>
    <t>P. ESPECIAL X CAMION</t>
  </si>
  <si>
    <t>COMPINCHE</t>
  </si>
  <si>
    <t>CACHUPIN</t>
  </si>
  <si>
    <t>GUAU FORTE</t>
  </si>
  <si>
    <t>COOL DOG</t>
  </si>
  <si>
    <t>DOKO</t>
  </si>
  <si>
    <t>EXCELLENT</t>
  </si>
  <si>
    <t>GATI</t>
  </si>
  <si>
    <t xml:space="preserve">MASKO </t>
  </si>
  <si>
    <t>8.- NB</t>
  </si>
  <si>
    <t>7.- ALCA</t>
  </si>
  <si>
    <t>6.- GORCHEN</t>
  </si>
  <si>
    <t>5.- CAUPOLICAN</t>
  </si>
  <si>
    <t>4.- PROA</t>
  </si>
  <si>
    <t>3.- CAROZZI</t>
  </si>
  <si>
    <t>1.- GEPSA</t>
  </si>
  <si>
    <t>2.- TRESKO</t>
  </si>
  <si>
    <t xml:space="preserve">JOSERA </t>
  </si>
  <si>
    <t>9.- COOPRINSEN</t>
  </si>
  <si>
    <t>10.- PURINA</t>
  </si>
  <si>
    <t>CAT CHOW</t>
  </si>
  <si>
    <t>DOG CHOW</t>
  </si>
  <si>
    <t xml:space="preserve">EXCELLENT </t>
  </si>
  <si>
    <t>11.- DRAG PHARMA</t>
  </si>
  <si>
    <t>FIT</t>
  </si>
  <si>
    <t>13.- ALLENDES</t>
  </si>
  <si>
    <t>14.- FREE GO</t>
  </si>
  <si>
    <t xml:space="preserve">FREE GO </t>
  </si>
  <si>
    <t>COOL DOG NUEVO</t>
  </si>
  <si>
    <t>AROMA</t>
  </si>
  <si>
    <t>STAY HAPPY</t>
  </si>
  <si>
    <t xml:space="preserve"> CAFÉ </t>
  </si>
  <si>
    <t xml:space="preserve"> LAVANDA </t>
  </si>
  <si>
    <t xml:space="preserve"> VARIEDADES </t>
  </si>
  <si>
    <t>HAPPY</t>
  </si>
  <si>
    <t xml:space="preserve"> CARBÓN </t>
  </si>
  <si>
    <t>EASY CLEAN</t>
  </si>
  <si>
    <t>CHILEAN</t>
  </si>
  <si>
    <t>LAVANDA</t>
  </si>
  <si>
    <t>TOI MOI</t>
  </si>
  <si>
    <t xml:space="preserve"> BEBE </t>
  </si>
  <si>
    <t>FELICITY</t>
  </si>
  <si>
    <t>SIN AROMA</t>
  </si>
  <si>
    <t>MAXI CAT</t>
  </si>
  <si>
    <t xml:space="preserve">  LAVANDA </t>
  </si>
  <si>
    <t xml:space="preserve"> MOCCA </t>
  </si>
  <si>
    <t>CATMANIA</t>
  </si>
  <si>
    <t xml:space="preserve"> LAVANDA  </t>
  </si>
  <si>
    <t>ANTIPARASITARIOS PET</t>
  </si>
  <si>
    <t>NEXGARD CAJA DE 3 UNID. 2-4KG</t>
  </si>
  <si>
    <t xml:space="preserve">NEXGARD CAJA DE 3 UNID. 4-10KG </t>
  </si>
  <si>
    <t xml:space="preserve">NEXGARD CAJA DE 3 UNID. 10-25KG </t>
  </si>
  <si>
    <t xml:space="preserve">NEXGARD CAJA DE 3 UNID. 25-50KG </t>
  </si>
  <si>
    <t xml:space="preserve">FRONTLINE PLUS GATOS 0,5ML </t>
  </si>
  <si>
    <t>FRONTLINE SPRAY PERROS Y GATOS 250ML</t>
  </si>
  <si>
    <t xml:space="preserve">CREDELIO 56,25MG, 1 TABLETA DE 1,3KG A 2,5KG </t>
  </si>
  <si>
    <t xml:space="preserve">CREDELIO 225MG, 1 TABLETA DE 5,5KG A 11KG </t>
  </si>
  <si>
    <t xml:space="preserve">CREDELIO 450MG, 1 TABLETA DE 11KG A 22KG </t>
  </si>
  <si>
    <t xml:space="preserve">CREDELIO 900MG, 1 TABLETA DE 22KG A 45KG </t>
  </si>
  <si>
    <t xml:space="preserve">SIMPARICA FORMATO / 5-10KG 3UND </t>
  </si>
  <si>
    <t xml:space="preserve">SIMPARICA FORMATO / 10-20KG 3UND </t>
  </si>
  <si>
    <t>SIMPARICA FORMATO / 20-40KG 3UND</t>
  </si>
  <si>
    <t>SIMPARICA FORMATO / 40-60KG 3UND</t>
  </si>
  <si>
    <t>REVOLUTION PLUS 0,25 / 1,25KG A 2,5KG</t>
  </si>
  <si>
    <t xml:space="preserve">REVOLUTION PLUS 0,5 / 2,5KG A 5KG </t>
  </si>
  <si>
    <t xml:space="preserve">NEXGARD COMBO GATO 2,5KG A 7,5KG </t>
  </si>
  <si>
    <t>PRODUTO</t>
  </si>
  <si>
    <t>RAHUE</t>
  </si>
  <si>
    <t xml:space="preserve">FÉMUR VACUNO GIGANTE </t>
  </si>
  <si>
    <t>UNIDAD</t>
  </si>
  <si>
    <t>MEDIO FÉMUR VACUNO</t>
  </si>
  <si>
    <t>FÉMUR CERDO</t>
  </si>
  <si>
    <t>BULLY STICK VACUNO 12"</t>
  </si>
  <si>
    <t>BULLY STICK VACUNO 6"</t>
  </si>
  <si>
    <t>BULLY STICK 4 A 5"</t>
  </si>
  <si>
    <t>TRÁQUEA VACUNO 12"</t>
  </si>
  <si>
    <t>TRÁQUEA VACUNO 6"</t>
  </si>
  <si>
    <t>PULMÓN CORDERO PATAGONICO 50GR</t>
  </si>
  <si>
    <t>JERKY VACUNO STICK POTE 250GR</t>
  </si>
  <si>
    <t>JERKY POLLO STICK POTE 250GR</t>
  </si>
  <si>
    <t>JERKY CORDERO STICK POTE 250GR</t>
  </si>
  <si>
    <t>SNACK MIX APERITIVO 500JG</t>
  </si>
  <si>
    <t>SNACK MIX APERITIVO 300GR</t>
  </si>
  <si>
    <t>GARRA DE POLLO 65GR</t>
  </si>
  <si>
    <t>CAJA SACHETS VARIEDADES 20 X 100GR</t>
  </si>
  <si>
    <t>FELIX</t>
  </si>
  <si>
    <t xml:space="preserve">MALETA LATA FELIX VARIEDADES 24 X 156GR </t>
  </si>
  <si>
    <t>DOGUITO</t>
  </si>
  <si>
    <t>CAJA DOGUITO 15 X 65GR</t>
  </si>
  <si>
    <t>CHURU</t>
  </si>
  <si>
    <t>CHURU GATO VARIEDADES 1 X 4UNID.</t>
  </si>
  <si>
    <t>CHURU ROLLS PERRO 1 X 8UNID.</t>
  </si>
  <si>
    <t>MARBEN</t>
  </si>
  <si>
    <t>CAT SNACK VARIEDADES GALLETAS CON CATNIP 80GR</t>
  </si>
  <si>
    <t>CAT SNACK VARIEDADES GALLETAS RELLENAS 80GR</t>
  </si>
  <si>
    <t>CAT SNACK CREMOSO 1 X 4UNID.</t>
  </si>
  <si>
    <t>DENTALIGHT</t>
  </si>
  <si>
    <t>OMEGA+ CRUNCHY 60GR VARIEDADES</t>
  </si>
  <si>
    <t>CAJA CREAMY CAT MIX SABORES 48UNID.</t>
  </si>
  <si>
    <t>LATA PATE CHAMPION CACHORRO VARIEDADES 315GR</t>
  </si>
  <si>
    <t>MIAU SNACK CUIDADO DENTAL 60GR</t>
  </si>
  <si>
    <t>17.- ARENAS</t>
  </si>
  <si>
    <t>ARENAS</t>
  </si>
  <si>
    <t>18.- ANTIPARASITARIOS</t>
  </si>
  <si>
    <t>ANTIPARASITARIOS</t>
  </si>
  <si>
    <t>19.- SNACKS</t>
  </si>
  <si>
    <t>SNACKS</t>
  </si>
  <si>
    <t>PIONERO</t>
  </si>
  <si>
    <t>PERRO ADULTO 18KG</t>
  </si>
  <si>
    <t>AMITY</t>
  </si>
  <si>
    <t>Amity Sp Low Grain Iberian Pork Adult 4 Kg</t>
  </si>
  <si>
    <t>4KG</t>
  </si>
  <si>
    <t>Amity Sp Low Grain Iberian Pork Adult 14 Kg</t>
  </si>
  <si>
    <t>14KG</t>
  </si>
  <si>
    <t>Amity Sp Low Grain Salmon Adult 4 Kg</t>
  </si>
  <si>
    <t>Amity Sp Low Grain Salmon Adult 14 Kg</t>
  </si>
  <si>
    <t>Amity Sp Low Grain Chicken Adult 4 Kg</t>
  </si>
  <si>
    <t>Amity Sp Low Grain Chicken Adult 14 Kg</t>
  </si>
  <si>
    <t>Amity Sp Low Grain Salmon Adult Cat 2 Kg</t>
  </si>
  <si>
    <t>Amity Sp Low Grain Salmon Cat Sterilized 7 Kg</t>
  </si>
  <si>
    <t>7KG</t>
  </si>
  <si>
    <t>Amity Sp Low Grain Salmon Adult Cat 7 Kg</t>
  </si>
  <si>
    <t>Amity Sp Low Grain Salmon Cat Sterilized 2 Kg</t>
  </si>
  <si>
    <t>BRAVERY</t>
  </si>
  <si>
    <t>Bravery Herring Senior Small Breeds 2 Kg.</t>
  </si>
  <si>
    <t>Bravery Salmón Mini Adult Small Breeds 7 Kg</t>
  </si>
  <si>
    <t>Bravery Chicken Adult Large/Medium Breeds 4 Kg</t>
  </si>
  <si>
    <t>Bravery Iberian Pork Adult Large/Medium Breeds 12 Kg</t>
  </si>
  <si>
    <t>Bravery Salmón Mini Puppy Small Breeds 7 Kg</t>
  </si>
  <si>
    <t>Bravery Chicken Mini Puppy Small Breeds 7 Kg</t>
  </si>
  <si>
    <t>Bravery Herring Adult Large/Medium Breeds 12 Kg</t>
  </si>
  <si>
    <t>Bravery Salmón Adult Large/Medium Breeds 12 Kg</t>
  </si>
  <si>
    <t>Bravery Lamb Adult Large/Medium Breeds 12 Kg</t>
  </si>
  <si>
    <t>Bravery Salmón Mini Adult Small Breeds 2 Kg</t>
  </si>
  <si>
    <t>Bravery Lamb Mini Adult Small Breeds 7 Kg</t>
  </si>
  <si>
    <t>Bravery Salmón Adult Cat Sterilized 7 Kg.</t>
  </si>
  <si>
    <t>Bravery Chicken Adult Cat Sterilized 2 Kg.</t>
  </si>
  <si>
    <t>Bravery Salmón Adult Cat 7 Kg.</t>
  </si>
  <si>
    <t>Bravery Chicken Adult Cat 7 Kg.</t>
  </si>
  <si>
    <t>Bravery Chicken Adult Cat Sterilized 7 Kg</t>
  </si>
  <si>
    <t>ASTRO PERRO JUNIOR</t>
  </si>
  <si>
    <t>ASTRO PERRO VITALITY</t>
  </si>
  <si>
    <t>ASTRO PERRO SELECTION</t>
  </si>
  <si>
    <t>ASTRO PERRO SMALL BREEDS</t>
  </si>
  <si>
    <t>ASTRO PERRO SENIOR</t>
  </si>
  <si>
    <t>ASTRO CAT GOURMET</t>
  </si>
  <si>
    <t>ASTRO</t>
  </si>
  <si>
    <t>FROST</t>
  </si>
  <si>
    <t>FROST ADULTO, MEDIANO Y GRANDE</t>
  </si>
  <si>
    <t>FROST ADULTO, LIGHT TODAS LAS RAZAS</t>
  </si>
  <si>
    <t>FROST ADULTO, MINIS Y PEQUEÑOS</t>
  </si>
  <si>
    <t>FROST TECNICO, TODAS LAS RAZAS</t>
  </si>
  <si>
    <t>FROST SENIOR, MEDIANO Y GRANDE</t>
  </si>
  <si>
    <t>NUTRIQUE GATO BABY CAT &amp; KITTEN 2 KG $ 12.825</t>
  </si>
  <si>
    <t>NUTRIQUE GATO BABY CAT &amp; KITTEN 7.5 KG $ 43.891</t>
  </si>
  <si>
    <t>NUTRIQUE GATO HEALTHY MAINTENANCE 7+ 2 KG $ 12.734</t>
  </si>
  <si>
    <t>NUTRIQUE GATO HEALTHY MAINTENANCE 7+ 7.5 KG $ 38.759</t>
  </si>
  <si>
    <t>NUTRIQUE GATO URINARY CARE - CAT 2 KG $ 12.825</t>
  </si>
  <si>
    <t>NUTRIQUE GATO URINARY CARE - CAT 7.5 KG $ 38.759</t>
  </si>
  <si>
    <t>NUTRIQUE GATO YOUNG ADULT CAT - HEALTHY MAINTENANCE 2 KG $ 12.825</t>
  </si>
  <si>
    <t>NUTRIQUE GATO YOUNG ADULT CAT - HEALTHY MAINTENANCE 7.5 KG $ 37.905</t>
  </si>
  <si>
    <t>NUTRIQUE GATO YOUNG ADULT CAT - STERILISED/HEALTHY WEIGHT 2 KG $ 12.825</t>
  </si>
  <si>
    <t>NUTRIQUE GATO YOUNG ADULT CAT - STERILISED/HEALTHY WEIGHT 7.5 KG $ 38.759</t>
  </si>
  <si>
    <t>NUTRIQUE PERRO HEALTHY WEIGHT 3 KG $ 13.681</t>
  </si>
  <si>
    <t>NUTRIQUE PERRO LARGE ADULT 6+ DOG 15 KG $ 51.585</t>
  </si>
  <si>
    <t>NUTRIQUE PERRO LARGE PUPPY 15 KG $ 53.580</t>
  </si>
  <si>
    <t>NUTRIQUE PERRO LARGE YOUNG ADULT DOG 3 KG $ 13.680</t>
  </si>
  <si>
    <t>NUTRIQUE PERRO LARGE YOUNG ADULT DOG 15 KG $ 50.160</t>
  </si>
  <si>
    <t>NUTRIQUE PERRO MEDIUM ADULT 7+ 3 KG $ 15.390</t>
  </si>
  <si>
    <t>NUTRIQUE PERRO MEDIUM ADULT 7+ DOG 12 KG $ 43.320</t>
  </si>
  <si>
    <t>NUTRIQUE PERRO MEDIUM PUPPY 12 KG $ 42.751</t>
  </si>
  <si>
    <t>NUTRIQUE PERRO MEDIUM PUPPY 3 KG $ 14.536</t>
  </si>
  <si>
    <t>NUTRIQUE PERRO MEDIUM YOUNG ADULT DOG 12 KG $ 40.471</t>
  </si>
  <si>
    <t>NUTRIQUE PERRO MEDIUM YOUNG ADULT DOG 3 KG $ 13.681</t>
  </si>
  <si>
    <t>NUTRIQUE PERRO SKIN SENSITIVITY 15 KG $ 53.864</t>
  </si>
  <si>
    <t>NUTRIQUE PERRO SKIN SENSITIVITY 3 KG $ 16.815</t>
  </si>
  <si>
    <t>NUTRIQUE PERRO TOY &amp; MINI ADULT 7 + DOG 3KG $ 15.390</t>
  </si>
  <si>
    <t>NUTRIQUE PERRO TOY &amp; MINI PUPPY 3 KG $ 14.536</t>
  </si>
  <si>
    <t xml:space="preserve">NUTRIQUE PERRO TOY &amp; MINI YOUNG ADULT DOG 3 KG </t>
  </si>
  <si>
    <t>NUTRIQUE PERRO TOY &amp; MINI YOUNG ADULT DOG 7.5 KG $ 30.209</t>
  </si>
  <si>
    <t>Bravery Chicken Adult Large/Medium Breeds 12 Kg.</t>
  </si>
  <si>
    <t>Bravery Salmón Adult Sterilized Cat 2 Kg.</t>
  </si>
  <si>
    <t>VARIEDAD</t>
  </si>
  <si>
    <t>20.- HRAZ</t>
  </si>
  <si>
    <t>TOP ONE</t>
  </si>
  <si>
    <t>RAZA PEQUEÑA</t>
  </si>
  <si>
    <t xml:space="preserve">LE ROY </t>
  </si>
  <si>
    <t xml:space="preserve">GATO </t>
  </si>
  <si>
    <t xml:space="preserve">LE ROY PREMIUN, ADULTO ESTERILIZADO </t>
  </si>
  <si>
    <t>15kG</t>
  </si>
  <si>
    <t xml:space="preserve">FROST CACHORRO MEDIANO Y GRANDE </t>
  </si>
  <si>
    <t>PROMOCIÓN</t>
  </si>
  <si>
    <t>SUPERPET ADULTO</t>
  </si>
  <si>
    <t>SUPERPET CACHORRO</t>
  </si>
  <si>
    <t>SUPERPET</t>
  </si>
  <si>
    <t>CAJA SACHETS VARIEDADES 24 X 85GR</t>
  </si>
  <si>
    <t xml:space="preserve">FELIX </t>
  </si>
  <si>
    <t xml:space="preserve">GATITO </t>
  </si>
  <si>
    <t>CAJA SACHETS VARIEDADES 15X85GR</t>
  </si>
  <si>
    <t>$17.500 sobre 100</t>
  </si>
  <si>
    <t xml:space="preserve">SABROKAN </t>
  </si>
  <si>
    <t>CHAMPION CACHORRO</t>
  </si>
  <si>
    <t>PIPETA GATO FIPRODRAG</t>
  </si>
  <si>
    <t>PIPETA PERRO HASTA 10KG FIPRODRAG</t>
  </si>
  <si>
    <t>PIPETA PERRO 10KG A 20KG FIPRODRAG</t>
  </si>
  <si>
    <t>PIPETA PERRO 20KG A 40KG FIPRODRAG</t>
  </si>
  <si>
    <t>PIPETA PERRO 40KG A 60KG FIPRODRAG</t>
  </si>
  <si>
    <t>EXCELLENT KITTEN</t>
  </si>
  <si>
    <t>16,5kg</t>
  </si>
  <si>
    <t>FLOVOVERMIC  CAJA 60UNIDADES</t>
  </si>
  <si>
    <t>FLOVOVERMIC  C/U 10KG</t>
  </si>
  <si>
    <t>FIT SNACK PERRO CALUGA 65GR</t>
  </si>
  <si>
    <t>FIT SNACK GATO PESCADITOS 65GR</t>
  </si>
  <si>
    <t>FIT GALLETA GATO CANGREJO 100GR</t>
  </si>
  <si>
    <t>FIT GALLETA GATO SALMON 100GR</t>
  </si>
  <si>
    <t>FIT SNACK PURE DE POLLO</t>
  </si>
  <si>
    <t>FLOVOVERMIC  C/U 30KG</t>
  </si>
  <si>
    <t>FIT SNACK PERRO MIX 65GR</t>
  </si>
  <si>
    <t>9LIVE GATITO</t>
  </si>
  <si>
    <t>TRIGONO CACHORRO</t>
  </si>
  <si>
    <t>WHISKAS GATITO</t>
  </si>
  <si>
    <t>PEDIGREE CACHORRO</t>
  </si>
  <si>
    <t>teresa castro</t>
  </si>
  <si>
    <t>NEXGARD CAJA DE 1 UNID. 2-4KG</t>
  </si>
  <si>
    <t xml:space="preserve">NEXGARD CAJA DE 1 UNID. 4-10KG </t>
  </si>
  <si>
    <t xml:space="preserve">NEXGARD CAJA DE 1 UNID. 10-25KG </t>
  </si>
  <si>
    <t xml:space="preserve">NEXGARD CAJA DE 1 UNID. 25-50KG </t>
  </si>
  <si>
    <t>6 X 22.500.-</t>
  </si>
  <si>
    <t>GALLINA</t>
  </si>
  <si>
    <t>POLLITO</t>
  </si>
  <si>
    <t>PONEDORA INICIAL</t>
  </si>
  <si>
    <t>PONEDORA FINAL</t>
  </si>
  <si>
    <t>BROILER INICIAL</t>
  </si>
  <si>
    <t>BROILER FINAL</t>
  </si>
  <si>
    <t xml:space="preserve"> </t>
  </si>
  <si>
    <t>ADULTO VORAZ</t>
  </si>
  <si>
    <t>GALLETA 10KG CAJA</t>
  </si>
  <si>
    <t>CAJA</t>
  </si>
  <si>
    <t xml:space="preserve">21KG </t>
  </si>
  <si>
    <t>P.ESPECIAL  X ??</t>
  </si>
  <si>
    <t>GATO ADULTO ESTERILIZADO</t>
  </si>
  <si>
    <t>GATO SENIOR ESTERILIZADO</t>
  </si>
  <si>
    <t>SENSITIVE SKIN MINI SMALL</t>
  </si>
  <si>
    <t>PUPPY MINI SMALL</t>
  </si>
  <si>
    <t>SENIOR MINI SMALL</t>
  </si>
  <si>
    <t>ZIMPI</t>
  </si>
  <si>
    <t>ZIMPI PERRO ADULTO</t>
  </si>
  <si>
    <t>PRECIO LOCAL</t>
  </si>
  <si>
    <t>P COMPRA</t>
  </si>
  <si>
    <t>P VENTA LOCAL</t>
  </si>
  <si>
    <t>JOSERA CHICKEN &amp; SWEET POTATO</t>
  </si>
  <si>
    <t>CAMPAÑA</t>
  </si>
  <si>
    <t>P.VENTA LOCAL</t>
  </si>
  <si>
    <t>P. VENTA LOCAL</t>
  </si>
  <si>
    <t>PRECIO FUERA DE TALCA</t>
  </si>
  <si>
    <t>MICHI LOVE</t>
  </si>
  <si>
    <t>FIT LIGHT RAZA PEQUEÑA</t>
  </si>
  <si>
    <t xml:space="preserve">FIT </t>
  </si>
  <si>
    <t>FIT BROCHETA 3 SABORES 100GR</t>
  </si>
  <si>
    <t>FIT BROCHETA 3 SABORES 400GR</t>
  </si>
  <si>
    <t>FIT GALLETA POLLO 100GR</t>
  </si>
  <si>
    <t>FIT GALLETA POLLO 400GR</t>
  </si>
  <si>
    <t>FIT HUESITO CON POLLO 100GR</t>
  </si>
  <si>
    <t>FIT HUESITO CON POLLO 400GR</t>
  </si>
  <si>
    <t>FIT SNACK CAMOTE Y CORDERO 100GR</t>
  </si>
  <si>
    <t>SKINDRAG CALENDULA SHAMPOO 250ML</t>
  </si>
  <si>
    <t>SKINDRAG MATICO SHAMPOO 250ML</t>
  </si>
  <si>
    <t>SKINDRAG AVENA SHAMPOO 250ML</t>
  </si>
  <si>
    <t>SKINDRAG GREEN TEA SHAMPOO 250ML</t>
  </si>
  <si>
    <t>SKINDRAG CERAMIDA SHAMPOO 250ML</t>
  </si>
  <si>
    <t>COLONIA ANIMAL HEALTH CACHORRO</t>
  </si>
  <si>
    <t>COLONIA ANIMAL HEALTH HEMBRA</t>
  </si>
  <si>
    <t>COLONIA ANIMAL HEALTH MACHO</t>
  </si>
  <si>
    <t>CANISH BALSAMICO SHAMPOO 390ML</t>
  </si>
  <si>
    <t>CANISH ESPUMA SHAMPOO SECO 160ML</t>
  </si>
  <si>
    <t>CANISH  EXTRA BRILLO SHAMPOO 390ML</t>
  </si>
  <si>
    <t>CANISH EXTRACTO DE HIERBAS SHAMPOO 390ML</t>
  </si>
  <si>
    <t>CANISH HIPOALERGENICO SHAMPOO 390ML</t>
  </si>
  <si>
    <t>FIT SNACK CONEJO 100GR</t>
  </si>
  <si>
    <t>FIT SNACK COSTILLITAS DE CORDERO 100GR</t>
  </si>
  <si>
    <t>FIT SNACK ESPIRAL DE SALMON 100KG</t>
  </si>
  <si>
    <t>FIT SNACK SALCHICHA DE PATO 100GR</t>
  </si>
  <si>
    <t>FIT SNACK TIRITA DE POLLO DESHIDRATADO 100GR</t>
  </si>
  <si>
    <t>FIT SNACK TRUTRO POLLO DESHIDRATADO 100GR</t>
  </si>
  <si>
    <t xml:space="preserve">FIT SNACK PURE DE ATUN </t>
  </si>
  <si>
    <t>FIT SNACK PURE DE SALMON</t>
  </si>
  <si>
    <t>FIT DUO ATUN-POLLO-OSTION 35GR X 2</t>
  </si>
  <si>
    <t>FIT LATA GOURMET GATOS CANGREJO PALITOS</t>
  </si>
  <si>
    <t>FIT LATA GOURMET GATOS VEGETALES</t>
  </si>
  <si>
    <t>FIT DUO ATUN-POLLO-SALMON 35GR X2</t>
  </si>
  <si>
    <t xml:space="preserve">FIT LATA GATO POLLO </t>
  </si>
  <si>
    <t>FIT LATA GATO PESCADO</t>
  </si>
  <si>
    <t>FIT LATA PERRO CARNE</t>
  </si>
  <si>
    <t>FIT LATA PERRO POLLO</t>
  </si>
  <si>
    <t>FIT LATA CACHORRO POLLO</t>
  </si>
  <si>
    <t>FIT LATA GOURMET GATOS CAMARON</t>
  </si>
  <si>
    <t xml:space="preserve">FIPROKILL SOLUCION SPRAY 50KG </t>
  </si>
  <si>
    <t>FIPROKILL SOLUCION SPRAY 250ML</t>
  </si>
  <si>
    <t xml:space="preserve">FIPROKILL SOLUCION SPRAY 100KG </t>
  </si>
  <si>
    <t>CREAMY CAT PROTEICO 4 X 14GR</t>
  </si>
  <si>
    <t>FIT LATA GOURMET GATOS CONEJO</t>
  </si>
  <si>
    <t>BIOFRESH SP NATURAL GATITOS HIGADO DE POLLO, MANZANA, TE VERDE Y ARANDANO 1,5KG</t>
  </si>
  <si>
    <t>BIOFRESH SP NATURAL GATOS ADULTOS POLLO 1,5KG</t>
  </si>
  <si>
    <t>BIOFRESH SP NATURAL GATOS ADULTOS POLLO 7,5KG</t>
  </si>
  <si>
    <t>BIOFRESH  SP GATOS CASTRADOS SALMON 1,5KG</t>
  </si>
  <si>
    <t>BIOFRESH  SP GATOS CASTRADOS SALMON 7,5KG</t>
  </si>
  <si>
    <t>BIOFRESH SP NATURAL GATO SENIOR 1,5KG</t>
  </si>
  <si>
    <t>BIOFRESH SP PERROS CACH RAZA PEQUEÑA 3KG</t>
  </si>
  <si>
    <t>BIOFRESH SP PERROS CACH RAZA PEQUEÑA 10,1KG</t>
  </si>
  <si>
    <t>BIOFRESH SP PERROS CACH RAZA MEDIANA 3KG</t>
  </si>
  <si>
    <t>BIOFRESH PERRO ADULTO RAZA PEQUEÑA CARNE CERDO Y PIÑA 3KG</t>
  </si>
  <si>
    <t>BIOFRESH SP PERROS SENIOR RAZA PEQUEÑA 3KG</t>
  </si>
  <si>
    <t>BIOFRESH SP PERROS SENIOR RAZA MEDIANA 3KG</t>
  </si>
  <si>
    <t>BIOFRESH SP PERRO ADULTO LIGHT RAZA PEQUEÑA 3KG</t>
  </si>
  <si>
    <t>GEROLAMO ALIMENTO GATO CASTRADO 2,7KG</t>
  </si>
  <si>
    <t>GEROLAMO ALIMENTO GATO SENIOR 2,7KG</t>
  </si>
  <si>
    <t>GEROLAMO SALVATORE LOLICAT POLLO &amp; ARANDANO 15UNID</t>
  </si>
  <si>
    <t>GEROLAMO PATE ADULTO GATO RENAL CARDIACO</t>
  </si>
  <si>
    <t>GEROLAMO PATE ADULTO GATO URINARIO HEPTI</t>
  </si>
  <si>
    <t>GEROLAMO PATE ADULTO PERRO RENAL CARDIACO</t>
  </si>
  <si>
    <t>GEROLAMO PATE ADULTO PERRO GI LOW FAT</t>
  </si>
  <si>
    <t>2,7KG</t>
  </si>
  <si>
    <t>15UNID</t>
  </si>
  <si>
    <t>PRECIO C/IVA</t>
  </si>
  <si>
    <t>BIOFRESH</t>
  </si>
  <si>
    <t>GEROLAMO</t>
  </si>
  <si>
    <t>BIOFRESH GATO SABOR SALMON, MANZANA, TE VERDE Y ARANDANO 1,5KG</t>
  </si>
  <si>
    <t>PRECIO PET</t>
  </si>
  <si>
    <t xml:space="preserve">DOG CHOW CACHORRO RAZA PEQUEÑA </t>
  </si>
  <si>
    <t xml:space="preserve">FIT SACHETS </t>
  </si>
  <si>
    <t>BIOFRESH SP PERROS ADULTOS PEQUEÑO 3KG</t>
  </si>
  <si>
    <t>BIOFRESH SP PERROS ADULTOS PEQUEÑO 10,1KG</t>
  </si>
  <si>
    <t xml:space="preserve">JOSERA MINIWELL </t>
  </si>
  <si>
    <t>8kg</t>
  </si>
  <si>
    <t>x 20 sacos</t>
  </si>
  <si>
    <t xml:space="preserve">EASY CLEAN </t>
  </si>
  <si>
    <t>TOFU VARIEDAD</t>
  </si>
  <si>
    <t>2K - 6LT</t>
  </si>
  <si>
    <t>LOCAL</t>
  </si>
  <si>
    <t>PET</t>
  </si>
  <si>
    <t>4 kongo ad</t>
  </si>
  <si>
    <t>4 Gana can</t>
  </si>
  <si>
    <t>5 Sabrokan</t>
  </si>
  <si>
    <t>1 Dog chow r/p</t>
  </si>
  <si>
    <t>2 Pedigree r/p</t>
  </si>
  <si>
    <t>nomade ga</t>
  </si>
  <si>
    <t>P.ESPECIAL  X10</t>
  </si>
  <si>
    <t>AMICI ADULTO MIX</t>
  </si>
  <si>
    <t>AMICI ADULTO CARNE</t>
  </si>
  <si>
    <t>AMICI CACHORRO</t>
  </si>
  <si>
    <t>$23.000.- X 10</t>
  </si>
  <si>
    <t>$22.500.- X 6</t>
  </si>
  <si>
    <t>SACHET CHAMPION PERRO 24</t>
  </si>
  <si>
    <t>SACHET CHAMPION GATO 24</t>
  </si>
  <si>
    <t>DOGUIVET SENIOR</t>
  </si>
  <si>
    <t>DOGUIVET CACHORRO</t>
  </si>
  <si>
    <t>DOGUIVET ADULTO</t>
  </si>
  <si>
    <t>HEPROTEC</t>
  </si>
  <si>
    <t>HERPLEX</t>
  </si>
  <si>
    <t>MAMISTOP PERRO 125GR</t>
  </si>
  <si>
    <t>MAMISTOP PERRO 250GR</t>
  </si>
  <si>
    <t>MAMISTOP GATO 100GR</t>
  </si>
  <si>
    <t>SUPERPET OMEGA PERRO</t>
  </si>
  <si>
    <t>SUPERPET OMEGA GAT</t>
  </si>
  <si>
    <t>SUPERPET OMEGA PUPPY</t>
  </si>
  <si>
    <t>SUPERPET OMEGA SENIOR</t>
  </si>
  <si>
    <t>ITEM</t>
  </si>
  <si>
    <t>x 5 a 32.500</t>
  </si>
  <si>
    <t xml:space="preserve">                                                     </t>
  </si>
  <si>
    <t xml:space="preserve">                     </t>
  </si>
  <si>
    <t>FELIX MEGAMIX GATITO</t>
  </si>
  <si>
    <t>FELIX MEGAMIX GATO ADULTO</t>
  </si>
  <si>
    <t>ALIMENTO</t>
  </si>
  <si>
    <t xml:space="preserve">yu7687u                                            </t>
  </si>
  <si>
    <t>ANTIPARASITARIOS PET (INTERNO)</t>
  </si>
  <si>
    <t>BEBE</t>
  </si>
  <si>
    <t>2 X $28.000.-</t>
  </si>
  <si>
    <t>JERKY POLLO 80GR</t>
  </si>
  <si>
    <t>JERKY CORDERO 80GR</t>
  </si>
  <si>
    <t>JERKY RAHUE 80GR</t>
  </si>
  <si>
    <t>RAMA FIBRA DE BAMBÚ 31CM</t>
  </si>
  <si>
    <t>$ PET</t>
  </si>
  <si>
    <t>$ LOCAL</t>
  </si>
  <si>
    <t>CUERNO FIBRA DE BAMBÚ 19,3CM</t>
  </si>
  <si>
    <t>HUESO L FIBRA DE BAMBU 16,4CM</t>
  </si>
  <si>
    <t>PACK 3 FORMAS FIBRA DE BAMBÚ 6CM Y 16CM</t>
  </si>
  <si>
    <t>PACK 2 FORMAS FIBRA DE BAMBÚ 15CM</t>
  </si>
  <si>
    <t>INFINITO CON PELOTA FIBRA DE BAMBÚ 36CM</t>
  </si>
  <si>
    <t>PACK 2 RAMAS HUESO ( Y ) FIBRA DE BAMBU 24CM Y 20,5CM</t>
  </si>
  <si>
    <t>JUGUETES</t>
  </si>
  <si>
    <t>Talca</t>
  </si>
  <si>
    <t>22.000 Fuera por 10</t>
  </si>
  <si>
    <t>ADVANTAGE GATO 0,4ML HASTA 4KG</t>
  </si>
  <si>
    <t>ADVANTAGE GATO 0,8ML HASTA 4KG - 8KG</t>
  </si>
  <si>
    <t>ADVOCATE GATO 0,4ML</t>
  </si>
  <si>
    <t>ADVOCATE GATO 0,8ML</t>
  </si>
  <si>
    <t>ADVOCATE PERRO 1ML</t>
  </si>
  <si>
    <t>ADVOCATE PERRO 2,5ML</t>
  </si>
  <si>
    <t>ADVOCATE PERRO 4ML</t>
  </si>
  <si>
    <t>SERESTO GATO Y PERRO HASTA 8KG</t>
  </si>
  <si>
    <t>SERESTO PERRO MAS 8 KG</t>
  </si>
  <si>
    <t>DESCRIPCIÓN</t>
  </si>
  <si>
    <t>TRATAMIENTO ANTIPULGAS</t>
  </si>
  <si>
    <t>PARASITOS INTERNOS Y EXTERNOS</t>
  </si>
  <si>
    <t>PARASITOS EXTERNOS</t>
  </si>
  <si>
    <t>TIPO</t>
  </si>
  <si>
    <t>PIPETA</t>
  </si>
  <si>
    <t>COLLAR</t>
  </si>
  <si>
    <t>CAFÉ</t>
  </si>
  <si>
    <t xml:space="preserve"> LAVANDA - BEBE</t>
  </si>
  <si>
    <t>MEVERMIC CAJA 50UNI</t>
  </si>
  <si>
    <t>||||-6</t>
  </si>
  <si>
    <t>?</t>
  </si>
  <si>
    <t>1a 5</t>
  </si>
  <si>
    <t>ñlp c</t>
  </si>
  <si>
    <t>surtido</t>
  </si>
  <si>
    <t>20 a $20.500</t>
  </si>
  <si>
    <t>6 a 19 $22.000</t>
  </si>
  <si>
    <t>marben beef bully stick</t>
  </si>
  <si>
    <t>Balde cat snack cremoso 50unid</t>
  </si>
  <si>
    <t>CAJA DENTALIGHT 6UNID</t>
  </si>
  <si>
    <t>Descripcion</t>
  </si>
  <si>
    <t>Cantidad</t>
  </si>
  <si>
    <t>Precio Neto</t>
  </si>
  <si>
    <t>Precio c/iva</t>
  </si>
  <si>
    <t>Precio Pet</t>
  </si>
  <si>
    <t>Precio Local</t>
  </si>
  <si>
    <t>N&amp;D CALABAZA GATO AD CASTRADO POLLO 1,5k</t>
  </si>
  <si>
    <t>N&amp;D CALABAZA GATO AD CASTRADO POLLO 7,5k</t>
  </si>
  <si>
    <t>N&amp;D CALABAZA GATO AD POLLO 7,5K</t>
  </si>
  <si>
    <t>N&amp;D CALABAZA GATO ADT PATO 1,5K</t>
  </si>
  <si>
    <t>N&amp;D CALABAZA GATO ADT SALMON 1,5K</t>
  </si>
  <si>
    <t>N&amp;D ESPIRULINA GATO ADT TILAPIA 1,5K</t>
  </si>
  <si>
    <t>N&amp;D ESPIRULINA GATO ADT TILAPIA 7K</t>
  </si>
  <si>
    <t>N&amp;D ESPIRULINA GATO CASTRADO CERDO 1,5K</t>
  </si>
  <si>
    <t>N&amp;D ESPIRULINA GATO CASTRADO CERDO 7K</t>
  </si>
  <si>
    <t>N&amp;D OCEAN GATO ADT CASTRADO SALMON 1,5K</t>
  </si>
  <si>
    <t>N&amp;D OCEAN GATO ADT CASTRADO SALMON 7,5K</t>
  </si>
  <si>
    <t>N&amp;D OCEAN GATO ATUN Y SALMON 70G 6UN=CJ</t>
  </si>
  <si>
    <t>N&amp;D PRIME GATITO POLLO 1,5K</t>
  </si>
  <si>
    <t>N&amp;D PRIME GATO ADT CASTRADO POLLO 1,5K</t>
  </si>
  <si>
    <t>N&amp;D PRIME GATO ADT CASTRADO POLLO 7,5K</t>
  </si>
  <si>
    <t>N&amp;D PRIME GATO ADT POLLO 1,5K</t>
  </si>
  <si>
    <t>N&amp;D PRIME GATO ADT POLLO 7,5K</t>
  </si>
  <si>
    <t>N&amp;D PRIME PERRO ADT PEQ POLLO 10,1K</t>
  </si>
  <si>
    <t>N&amp;D TROPICAL PERRO ADT MED CERDO 12K</t>
  </si>
  <si>
    <t>N&amp;D TROPICAL PERRO ADT MED POLLO 10,1K</t>
  </si>
  <si>
    <t>N&amp;D TROPICAL PERRO ADT MED POLLO 12K</t>
  </si>
  <si>
    <t>N&amp;D TROPICAL PERRO ADT PEQ SALMON 2,5K</t>
  </si>
  <si>
    <t>ND GATO JABALI Y MANZANA 70G 6UN=CJ</t>
  </si>
  <si>
    <t>ND GATO POLLO Y GRANADA 70G 6UN=CJ</t>
  </si>
  <si>
    <t>REVOLUTION PLUS 1 / 5KG A 10KG</t>
  </si>
  <si>
    <t xml:space="preserve">SACHETS TASTY FARM </t>
  </si>
  <si>
    <t>PROPLAN</t>
  </si>
  <si>
    <t>PRO PLAN VETERINARYDIETS CNNE HA 7,5KG XL</t>
  </si>
  <si>
    <t>CANTIDAD/U</t>
  </si>
  <si>
    <t>PACK</t>
  </si>
  <si>
    <t>PRECIO TOTAL</t>
  </si>
  <si>
    <t>TOTAL C/IVA</t>
  </si>
  <si>
    <t>PRECIO U. NETO</t>
  </si>
  <si>
    <t>PRECIO U. C/IVA</t>
  </si>
  <si>
    <t>TOTAL CON IVA</t>
  </si>
  <si>
    <t>PRO PLAN URINARY CAT 3KG AR</t>
  </si>
  <si>
    <t>PRO PLAN ADULT SMALL BREED 3KG AR</t>
  </si>
  <si>
    <t>PRO PLAN EXIGENT SMALL BREED 3KG AR</t>
  </si>
  <si>
    <t>PRO PLAN PUPPY SMALL BREED 3KG AR</t>
  </si>
  <si>
    <t>PRO PLAN PUPPY SMALL BREED 1KG AR</t>
  </si>
  <si>
    <t>PRO PLAN ADULT CAT 3KG AR</t>
  </si>
  <si>
    <t>PRO PLAN ADULT CAT 7+ 3KG AR</t>
  </si>
  <si>
    <t>PRO PLAN STERILIZED CAT 3KG AR</t>
  </si>
  <si>
    <t>PRO PLAN URINARY CAT 1KG AR</t>
  </si>
  <si>
    <t>PRO PLAN ADULT CAT LIVE CLEAR 3KG AR</t>
  </si>
  <si>
    <t>PRO PLAN VETERINARYDIETS CNNE HA 2KG XL</t>
  </si>
  <si>
    <t>PPVD NF FUNCION RENAL CNNE 2KG AR</t>
  </si>
  <si>
    <t>PPVD EN GASTROINTESTINAL FNL 1,5KG AR</t>
  </si>
  <si>
    <t>PPVD EN GASTROINTESTINAL CNNE 2KG AR</t>
  </si>
  <si>
    <t>PPVD CANINE EN CNNE 380G N8 US</t>
  </si>
  <si>
    <t>PPVD CRITICAL NUTRITION 5,5OZ N1 US</t>
  </si>
  <si>
    <t>SUPERPET GATO</t>
  </si>
  <si>
    <t>FIT FÓRMULA GATITO</t>
  </si>
  <si>
    <t>BRAVECTO 1 TABLETA    500 MG   10-20 KG.</t>
  </si>
  <si>
    <t>BRAVECTO 1 TABLETA   1000 MG   20-40 KG.</t>
  </si>
  <si>
    <t>BRAVECTO 1 TABLETA   1400 MG   40-56 KG.</t>
  </si>
  <si>
    <t>BRAVECTO 1 TABLETA  112,5 MG   2-4,5 KG.</t>
  </si>
  <si>
    <t>ADVANTAGE GATO  0,4 ML   HASTA 4  KG</t>
  </si>
  <si>
    <t>ADVANTAGE GATO  0,8 ML   4 - 8  KG</t>
  </si>
  <si>
    <t>ADVOCATE GATO O,4 ML</t>
  </si>
  <si>
    <t>ADVOCATE GATO O,8 ML</t>
  </si>
  <si>
    <t>BRAVECTO 1M 45MG (2 A 4,5KG) 1X1 TAB</t>
  </si>
  <si>
    <t>BRAVECTO 1M 200MG (10 A 20KG) 1X1 TAB</t>
  </si>
  <si>
    <t>BRAVECTO 1M 400MG (20 A 40KG) 1X1 TAB</t>
  </si>
  <si>
    <t>BRAVECTO GATO PIPETA 112,5 MG 1,2-2,8 KG</t>
  </si>
  <si>
    <t>BRAVECTO GATO PIPETA 250 MG  2,8-6,25 KG</t>
  </si>
  <si>
    <t>BRAVECTO GATO PIPETA 500 MG 6,25-12,5 KG</t>
  </si>
  <si>
    <t>NEXGARD COMBO GATO</t>
  </si>
  <si>
    <t xml:space="preserve">NEXGARD COMBO GATO 0,8KG A 2,5KG </t>
  </si>
  <si>
    <t>NEXGARD SPECTRA 2-3,5 KG 1 COMPRIMIDO</t>
  </si>
  <si>
    <t>NEXGARD SPECTRA 3,6-7,5 KG 1 COMPRIMIDO</t>
  </si>
  <si>
    <t>NEXGARD SPECTRA 7,6-15 KG 1 COMPRIMIDO</t>
  </si>
  <si>
    <t>NEXGARD SPECTRA 15,1-30 KG 1 COMPRIMIDO</t>
  </si>
  <si>
    <t>LATA PERRO 24 unidades</t>
  </si>
  <si>
    <t>LATA GATO 24 unidades</t>
  </si>
  <si>
    <t>tr56hyuuuuuu</t>
  </si>
  <si>
    <t>BRAVECTO 1 TABLETA    250 MG  4,5 A 10 KG.</t>
  </si>
  <si>
    <t>BRAVECTO 1M                   100MG           (4,5 A 10KG) 1X1 TAB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</si>
</sst>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;[Red]&quot;$&quot;\-#,##0"/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sz val="18"/>
      <name val="Calibri"/>
      <family val="2"/>
      <scheme val="minor"/>
    </font>
    <font>
      <sz val="11"/>
      <name val="Calibri"/>
      <family val="2"/>
      <scheme val="minor"/>
    </font>
    <font>
      <sz val="14"/>
      <color rgb="FFFF0000"/>
      <name val="Calibri"/>
      <family val="2"/>
      <scheme val="minor"/>
    </font>
    <font>
      <sz val="16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2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73">
    <xf numFmtId="0" fontId="0" fillId="0" borderId="0" xfId="0"/>
    <xf numFmtId="0" fontId="0" fillId="0" borderId="0" xfId="0" applyAlignment="1">
      <alignment vertical="center"/>
    </xf>
    <xf numFmtId="0" fontId="0" fillId="0" borderId="2" xfId="0" applyBorder="1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42" fontId="0" fillId="0" borderId="2" xfId="1" applyFont="1" applyFill="1" applyBorder="1" applyAlignment="1">
      <alignment vertical="center"/>
    </xf>
    <xf numFmtId="0" fontId="0" fillId="0" borderId="2" xfId="0" applyBorder="1" applyAlignment="1">
      <alignment horizontal="left" vertical="center"/>
    </xf>
    <xf numFmtId="42" fontId="0" fillId="0" borderId="2" xfId="1" applyFont="1" applyFill="1" applyBorder="1"/>
    <xf numFmtId="42" fontId="0" fillId="0" borderId="0" xfId="1" applyFont="1"/>
    <xf numFmtId="42" fontId="0" fillId="0" borderId="2" xfId="1" applyFont="1" applyBorder="1"/>
    <xf numFmtId="0" fontId="0" fillId="0" borderId="2" xfId="0" applyBorder="1" applyAlignment="1">
      <alignment vertical="top"/>
    </xf>
    <xf numFmtId="42" fontId="0" fillId="0" borderId="0" xfId="1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/>
    <xf numFmtId="42" fontId="3" fillId="2" borderId="2" xfId="1" applyFont="1" applyFill="1" applyBorder="1" applyAlignment="1">
      <alignment horizontal="center"/>
    </xf>
    <xf numFmtId="42" fontId="3" fillId="2" borderId="1" xfId="1" applyFont="1" applyFill="1" applyBorder="1" applyAlignment="1">
      <alignment horizontal="center"/>
    </xf>
    <xf numFmtId="0" fontId="3" fillId="2" borderId="1" xfId="0" applyFont="1" applyFill="1" applyBorder="1"/>
    <xf numFmtId="0" fontId="2" fillId="0" borderId="2" xfId="0" applyFont="1" applyBorder="1" applyAlignment="1">
      <alignment vertical="center"/>
    </xf>
    <xf numFmtId="0" fontId="0" fillId="3" borderId="2" xfId="0" applyFill="1" applyBorder="1"/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left" vertical="top"/>
    </xf>
    <xf numFmtId="0" fontId="0" fillId="2" borderId="2" xfId="0" applyFill="1" applyBorder="1"/>
    <xf numFmtId="6" fontId="0" fillId="0" borderId="2" xfId="0" applyNumberFormat="1" applyBorder="1"/>
    <xf numFmtId="42" fontId="5" fillId="0" borderId="0" xfId="1" applyFont="1"/>
    <xf numFmtId="0" fontId="5" fillId="0" borderId="0" xfId="0" applyFont="1"/>
    <xf numFmtId="0" fontId="5" fillId="0" borderId="2" xfId="0" applyFont="1" applyBorder="1"/>
    <xf numFmtId="42" fontId="5" fillId="0" borderId="2" xfId="1" applyFont="1" applyBorder="1"/>
    <xf numFmtId="42" fontId="5" fillId="0" borderId="2" xfId="1" applyFont="1" applyFill="1" applyBorder="1"/>
    <xf numFmtId="0" fontId="2" fillId="0" borderId="0" xfId="0" applyFont="1" applyAlignment="1">
      <alignment horizontal="center" vertical="center"/>
    </xf>
    <xf numFmtId="0" fontId="3" fillId="0" borderId="2" xfId="0" applyFont="1" applyBorder="1"/>
    <xf numFmtId="164" fontId="3" fillId="0" borderId="2" xfId="0" applyNumberFormat="1" applyFont="1" applyBorder="1"/>
    <xf numFmtId="0" fontId="3" fillId="0" borderId="0" xfId="0" applyFont="1"/>
    <xf numFmtId="164" fontId="0" fillId="0" borderId="0" xfId="0" applyNumberFormat="1"/>
    <xf numFmtId="42" fontId="0" fillId="0" borderId="0" xfId="1" applyFont="1" applyFill="1" applyBorder="1"/>
    <xf numFmtId="42" fontId="5" fillId="0" borderId="0" xfId="0" applyNumberFormat="1" applyFont="1"/>
    <xf numFmtId="14" fontId="3" fillId="2" borderId="2" xfId="0" applyNumberFormat="1" applyFont="1" applyFill="1" applyBorder="1"/>
    <xf numFmtId="0" fontId="0" fillId="0" borderId="2" xfId="0" applyBorder="1" applyAlignment="1">
      <alignment horizontal="right"/>
    </xf>
    <xf numFmtId="42" fontId="0" fillId="0" borderId="0" xfId="0" applyNumberFormat="1"/>
    <xf numFmtId="42" fontId="0" fillId="0" borderId="7" xfId="1" applyFont="1" applyBorder="1"/>
    <xf numFmtId="0" fontId="0" fillId="5" borderId="2" xfId="0" applyFill="1" applyBorder="1" applyAlignment="1">
      <alignment vertical="center"/>
    </xf>
    <xf numFmtId="42" fontId="0" fillId="5" borderId="2" xfId="1" applyFont="1" applyFill="1" applyBorder="1" applyAlignment="1">
      <alignment vertical="center"/>
    </xf>
    <xf numFmtId="14" fontId="0" fillId="0" borderId="0" xfId="0" applyNumberFormat="1"/>
    <xf numFmtId="42" fontId="0" fillId="0" borderId="0" xfId="1" applyFont="1" applyBorder="1"/>
    <xf numFmtId="14" fontId="0" fillId="2" borderId="2" xfId="0" applyNumberFormat="1" applyFill="1" applyBorder="1"/>
    <xf numFmtId="42" fontId="0" fillId="0" borderId="2" xfId="1" applyFont="1" applyBorder="1" applyAlignment="1">
      <alignment horizontal="center" vertical="center"/>
    </xf>
    <xf numFmtId="0" fontId="3" fillId="7" borderId="2" xfId="0" applyFont="1" applyFill="1" applyBorder="1" applyAlignment="1">
      <alignment horizontal="center"/>
    </xf>
    <xf numFmtId="0" fontId="3" fillId="2" borderId="7" xfId="0" applyFont="1" applyFill="1" applyBorder="1"/>
    <xf numFmtId="0" fontId="5" fillId="0" borderId="2" xfId="0" applyFont="1" applyBorder="1" applyAlignment="1">
      <alignment horizontal="center" vertical="center"/>
    </xf>
    <xf numFmtId="42" fontId="0" fillId="0" borderId="2" xfId="1" applyFont="1" applyFill="1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42" fontId="0" fillId="0" borderId="3" xfId="1" applyFont="1" applyFill="1" applyBorder="1" applyAlignment="1">
      <alignment vertical="center"/>
    </xf>
    <xf numFmtId="0" fontId="0" fillId="0" borderId="3" xfId="0" applyBorder="1"/>
    <xf numFmtId="0" fontId="0" fillId="0" borderId="7" xfId="0" applyBorder="1"/>
    <xf numFmtId="42" fontId="8" fillId="2" borderId="9" xfId="1" applyFont="1" applyFill="1" applyBorder="1" applyAlignment="1">
      <alignment horizontal="center"/>
    </xf>
    <xf numFmtId="0" fontId="9" fillId="0" borderId="9" xfId="0" applyFont="1" applyBorder="1"/>
    <xf numFmtId="0" fontId="11" fillId="0" borderId="2" xfId="0" applyFont="1" applyBorder="1"/>
    <xf numFmtId="0" fontId="0" fillId="0" borderId="2" xfId="0" applyBorder="1" applyAlignment="1">
      <alignment horizontal="left"/>
    </xf>
    <xf numFmtId="0" fontId="11" fillId="2" borderId="2" xfId="0" applyFont="1" applyFill="1" applyBorder="1"/>
    <xf numFmtId="42" fontId="11" fillId="2" borderId="2" xfId="1" applyFont="1" applyFill="1" applyBorder="1"/>
    <xf numFmtId="42" fontId="11" fillId="0" borderId="2" xfId="1" applyFont="1" applyBorder="1"/>
    <xf numFmtId="0" fontId="11" fillId="5" borderId="2" xfId="0" applyFont="1" applyFill="1" applyBorder="1"/>
    <xf numFmtId="42" fontId="11" fillId="5" borderId="2" xfId="1" applyFont="1" applyFill="1" applyBorder="1"/>
    <xf numFmtId="0" fontId="11" fillId="0" borderId="2" xfId="0" applyFont="1" applyBorder="1" applyAlignment="1">
      <alignment vertical="center"/>
    </xf>
    <xf numFmtId="42" fontId="11" fillId="0" borderId="2" xfId="1" applyFont="1" applyFill="1" applyBorder="1"/>
    <xf numFmtId="0" fontId="3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11" xfId="0" applyFill="1" applyBorder="1"/>
    <xf numFmtId="0" fontId="0" fillId="2" borderId="12" xfId="0" applyFill="1" applyBorder="1"/>
    <xf numFmtId="14" fontId="0" fillId="2" borderId="12" xfId="0" applyNumberFormat="1" applyFill="1" applyBorder="1"/>
    <xf numFmtId="0" fontId="0" fillId="0" borderId="14" xfId="0" applyBorder="1"/>
    <xf numFmtId="0" fontId="0" fillId="0" borderId="15" xfId="0" applyBorder="1"/>
    <xf numFmtId="0" fontId="0" fillId="2" borderId="13" xfId="0" applyFill="1" applyBorder="1"/>
    <xf numFmtId="0" fontId="0" fillId="2" borderId="17" xfId="0" applyFill="1" applyBorder="1"/>
    <xf numFmtId="0" fontId="0" fillId="0" borderId="18" xfId="0" applyBorder="1"/>
    <xf numFmtId="42" fontId="0" fillId="0" borderId="16" xfId="1" applyFont="1" applyBorder="1"/>
    <xf numFmtId="0" fontId="12" fillId="0" borderId="0" xfId="0" applyFont="1" applyAlignment="1">
      <alignment horizontal="center"/>
    </xf>
    <xf numFmtId="0" fontId="0" fillId="0" borderId="8" xfId="0" applyBorder="1" applyAlignment="1">
      <alignment vertical="center"/>
    </xf>
    <xf numFmtId="42" fontId="3" fillId="2" borderId="7" xfId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42" fontId="0" fillId="0" borderId="7" xfId="1" applyFont="1" applyFill="1" applyBorder="1"/>
    <xf numFmtId="0" fontId="0" fillId="0" borderId="9" xfId="0" applyBorder="1" applyAlignment="1">
      <alignment vertical="center"/>
    </xf>
    <xf numFmtId="42" fontId="0" fillId="0" borderId="9" xfId="1" applyFont="1" applyFill="1" applyBorder="1"/>
    <xf numFmtId="0" fontId="0" fillId="0" borderId="9" xfId="0" applyBorder="1"/>
    <xf numFmtId="0" fontId="2" fillId="0" borderId="9" xfId="0" applyFont="1" applyBorder="1"/>
    <xf numFmtId="0" fontId="3" fillId="0" borderId="9" xfId="0" applyFont="1" applyBorder="1" applyAlignment="1">
      <alignment horizontal="center" vertical="center"/>
    </xf>
    <xf numFmtId="0" fontId="3" fillId="0" borderId="9" xfId="0" applyFont="1" applyBorder="1"/>
    <xf numFmtId="42" fontId="5" fillId="0" borderId="0" xfId="1" applyFont="1" applyFill="1"/>
    <xf numFmtId="0" fontId="5" fillId="0" borderId="2" xfId="0" applyFont="1" applyBorder="1" applyAlignment="1">
      <alignment wrapText="1"/>
    </xf>
    <xf numFmtId="42" fontId="5" fillId="0" borderId="2" xfId="1" applyFont="1" applyFill="1" applyBorder="1" applyAlignment="1">
      <alignment wrapText="1"/>
    </xf>
    <xf numFmtId="42" fontId="5" fillId="0" borderId="10" xfId="1" applyFont="1" applyBorder="1"/>
    <xf numFmtId="0" fontId="0" fillId="6" borderId="9" xfId="0" applyFill="1" applyBorder="1" applyAlignment="1">
      <alignment vertical="center"/>
    </xf>
    <xf numFmtId="42" fontId="0" fillId="6" borderId="9" xfId="1" applyFont="1" applyFill="1" applyBorder="1"/>
    <xf numFmtId="0" fontId="0" fillId="0" borderId="19" xfId="0" applyBorder="1"/>
    <xf numFmtId="42" fontId="9" fillId="0" borderId="9" xfId="1" applyFont="1" applyFill="1" applyBorder="1"/>
    <xf numFmtId="42" fontId="9" fillId="0" borderId="9" xfId="1" applyFont="1" applyBorder="1"/>
    <xf numFmtId="0" fontId="0" fillId="6" borderId="2" xfId="0" applyFill="1" applyBorder="1" applyAlignment="1">
      <alignment vertical="center"/>
    </xf>
    <xf numFmtId="0" fontId="0" fillId="6" borderId="2" xfId="0" applyFill="1" applyBorder="1"/>
    <xf numFmtId="42" fontId="0" fillId="6" borderId="2" xfId="1" applyFont="1" applyFill="1" applyBorder="1"/>
    <xf numFmtId="0" fontId="3" fillId="0" borderId="0" xfId="0" applyFont="1" applyAlignment="1">
      <alignment vertical="center"/>
    </xf>
    <xf numFmtId="0" fontId="9" fillId="0" borderId="9" xfId="0" applyFont="1" applyBorder="1" applyAlignment="1">
      <alignment vertical="center"/>
    </xf>
    <xf numFmtId="0" fontId="0" fillId="3" borderId="2" xfId="0" applyFill="1" applyBorder="1" applyAlignment="1">
      <alignment vertical="top"/>
    </xf>
    <xf numFmtId="6" fontId="0" fillId="3" borderId="2" xfId="0" applyNumberFormat="1" applyFill="1" applyBorder="1"/>
    <xf numFmtId="42" fontId="0" fillId="2" borderId="2" xfId="1" applyFont="1" applyFill="1" applyBorder="1"/>
    <xf numFmtId="0" fontId="3" fillId="4" borderId="2" xfId="0" applyFont="1" applyFill="1" applyBorder="1" applyAlignment="1">
      <alignment horizontal="center"/>
    </xf>
    <xf numFmtId="0" fontId="10" fillId="0" borderId="0" xfId="0" applyFont="1"/>
    <xf numFmtId="42" fontId="10" fillId="0" borderId="0" xfId="1" applyFont="1" applyBorder="1"/>
    <xf numFmtId="0" fontId="0" fillId="0" borderId="2" xfId="0" applyBorder="1" applyAlignment="1">
      <alignment horizontal="center"/>
    </xf>
    <xf numFmtId="6" fontId="0" fillId="0" borderId="2" xfId="1" applyNumberFormat="1" applyFont="1" applyBorder="1"/>
    <xf numFmtId="0" fontId="11" fillId="0" borderId="0" xfId="0" applyFont="1"/>
    <xf numFmtId="0" fontId="5" fillId="8" borderId="2" xfId="0" applyFont="1" applyFill="1" applyBorder="1"/>
    <xf numFmtId="42" fontId="0" fillId="9" borderId="2" xfId="1" applyFont="1" applyFill="1" applyBorder="1"/>
    <xf numFmtId="42" fontId="0" fillId="3" borderId="2" xfId="1" applyFont="1" applyFill="1" applyBorder="1"/>
    <xf numFmtId="0" fontId="5" fillId="0" borderId="2" xfId="0" applyFont="1" applyBorder="1" applyAlignment="1">
      <alignment vertical="center"/>
    </xf>
    <xf numFmtId="0" fontId="0" fillId="3" borderId="2" xfId="0" applyFill="1" applyBorder="1" applyAlignment="1">
      <alignment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13" fillId="0" borderId="0" xfId="0" applyFont="1"/>
    <xf numFmtId="0" fontId="13" fillId="0" borderId="2" xfId="0" applyFont="1" applyBorder="1" applyAlignment="1">
      <alignment horizontal="center" vertical="center"/>
    </xf>
    <xf numFmtId="0" fontId="13" fillId="0" borderId="2" xfId="0" applyFont="1" applyBorder="1"/>
    <xf numFmtId="0" fontId="13" fillId="0" borderId="2" xfId="0" applyFont="1" applyBorder="1" applyAlignment="1">
      <alignment horizontal="center"/>
    </xf>
    <xf numFmtId="0" fontId="4" fillId="0" borderId="2" xfId="0" applyFont="1" applyBorder="1" applyAlignment="1">
      <alignment vertical="center"/>
    </xf>
    <xf numFmtId="41" fontId="4" fillId="0" borderId="2" xfId="2" applyFont="1" applyFill="1" applyBorder="1"/>
    <xf numFmtId="42" fontId="4" fillId="0" borderId="2" xfId="1" applyFont="1" applyBorder="1"/>
    <xf numFmtId="41" fontId="4" fillId="0" borderId="2" xfId="0" applyNumberFormat="1" applyFont="1" applyBorder="1"/>
    <xf numFmtId="0" fontId="3" fillId="2" borderId="1" xfId="0" applyFont="1" applyFill="1" applyBorder="1" applyAlignment="1">
      <alignment horizontal="center"/>
    </xf>
    <xf numFmtId="42" fontId="0" fillId="3" borderId="2" xfId="1" applyFont="1" applyFill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42" fontId="0" fillId="9" borderId="2" xfId="0" applyNumberFormat="1" applyFill="1" applyBorder="1"/>
    <xf numFmtId="0" fontId="0" fillId="9" borderId="2" xfId="0" applyFill="1" applyBorder="1"/>
    <xf numFmtId="0" fontId="5" fillId="2" borderId="2" xfId="0" applyFont="1" applyFill="1" applyBorder="1"/>
    <xf numFmtId="42" fontId="5" fillId="2" borderId="2" xfId="1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2" fillId="0" borderId="2" xfId="0" applyFont="1" applyBorder="1" applyAlignment="1">
      <alignment horizontal="left" vertical="top"/>
    </xf>
    <xf numFmtId="0" fontId="2" fillId="4" borderId="2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45" wrapText="1"/>
    </xf>
    <xf numFmtId="0" fontId="2" fillId="0" borderId="4" xfId="0" applyFont="1" applyBorder="1" applyAlignment="1">
      <alignment horizontal="center" vertical="center" textRotation="45" wrapText="1"/>
    </xf>
    <xf numFmtId="0" fontId="2" fillId="0" borderId="3" xfId="0" applyFont="1" applyBorder="1" applyAlignment="1">
      <alignment horizontal="center" vertical="center" textRotation="45" wrapText="1"/>
    </xf>
    <xf numFmtId="0" fontId="2" fillId="0" borderId="1" xfId="0" applyFont="1" applyBorder="1" applyAlignment="1">
      <alignment horizontal="center" vertical="center" textRotation="45"/>
    </xf>
    <xf numFmtId="0" fontId="2" fillId="0" borderId="4" xfId="0" applyFont="1" applyBorder="1" applyAlignment="1">
      <alignment horizontal="center" vertical="center" textRotation="45"/>
    </xf>
    <xf numFmtId="0" fontId="2" fillId="0" borderId="3" xfId="0" applyFont="1" applyBorder="1" applyAlignment="1">
      <alignment horizontal="center" vertical="center" textRotation="45"/>
    </xf>
    <xf numFmtId="0" fontId="3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0" fillId="0" borderId="2" xfId="0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textRotation="45"/>
    </xf>
  </cellXfs>
  <cellStyles count="3">
    <cellStyle name="Comma [0]" xfId="2" builtinId="6"/>
    <cellStyle name="Currency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31</xdr:row>
      <xdr:rowOff>0</xdr:rowOff>
    </xdr:from>
    <xdr:to>
      <xdr:col>5</xdr:col>
      <xdr:colOff>304800</xdr:colOff>
      <xdr:row>32</xdr:row>
      <xdr:rowOff>114300</xdr:rowOff>
    </xdr:to>
    <xdr:sp macro="" textlink="">
      <xdr:nvSpPr>
        <xdr:cNvPr id="1025" name="AutoShape 1" descr="Interruptor Faros Para Vw Cabriolet 1984-89 Quantum 1982-88">
          <a:extLst>
            <a:ext uri="{FF2B5EF4-FFF2-40B4-BE49-F238E27FC236}">
              <a16:creationId xmlns:a16="http://schemas.microsoft.com/office/drawing/2014/main" id="{00000000-0008-0000-06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6134100" y="552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I52"/>
  <sheetViews>
    <sheetView zoomScale="75" zoomScaleNormal="75" workbookViewId="0">
      <selection activeCell="H7" sqref="H7"/>
    </sheetView>
  </sheetViews>
  <sheetFormatPr defaultColWidth="11.42578125" defaultRowHeight="15" x14ac:dyDescent="0.25"/>
  <cols>
    <col min="2" max="2" width="39.85546875" bestFit="1" customWidth="1"/>
    <col min="3" max="3" width="32.7109375" bestFit="1" customWidth="1"/>
    <col min="7" max="7" width="27.140625" bestFit="1" customWidth="1"/>
  </cols>
  <sheetData>
    <row r="2" spans="2:9" ht="26.25" x14ac:dyDescent="0.4">
      <c r="B2" s="138" t="s">
        <v>246</v>
      </c>
      <c r="C2" s="138"/>
    </row>
    <row r="3" spans="2:9" ht="26.25" x14ac:dyDescent="0.4">
      <c r="B3" s="137" t="s">
        <v>266</v>
      </c>
      <c r="C3" s="21" t="s">
        <v>106</v>
      </c>
    </row>
    <row r="4" spans="2:9" ht="26.25" x14ac:dyDescent="0.4">
      <c r="B4" s="137"/>
      <c r="C4" s="21" t="s">
        <v>36</v>
      </c>
      <c r="G4" s="1"/>
      <c r="H4" s="1"/>
      <c r="I4" s="12"/>
    </row>
    <row r="5" spans="2:9" ht="26.25" x14ac:dyDescent="0.4">
      <c r="B5" s="137"/>
      <c r="C5" s="21" t="s">
        <v>252</v>
      </c>
      <c r="G5" s="1"/>
      <c r="I5" s="37"/>
    </row>
    <row r="6" spans="2:9" ht="26.25" x14ac:dyDescent="0.4">
      <c r="B6" s="137"/>
      <c r="C6" s="21" t="s">
        <v>55</v>
      </c>
      <c r="G6" s="1"/>
      <c r="H6" s="1"/>
      <c r="I6" s="37"/>
    </row>
    <row r="7" spans="2:9" ht="26.25" x14ac:dyDescent="0.4">
      <c r="B7" s="137"/>
      <c r="C7" s="21" t="s">
        <v>59</v>
      </c>
      <c r="G7" s="1"/>
      <c r="H7" s="1"/>
      <c r="I7" s="37"/>
    </row>
    <row r="8" spans="2:9" ht="26.25" x14ac:dyDescent="0.4">
      <c r="B8" s="137"/>
      <c r="C8" s="21" t="s">
        <v>220</v>
      </c>
      <c r="G8" s="1"/>
      <c r="H8" s="1"/>
      <c r="I8" s="37"/>
    </row>
    <row r="9" spans="2:9" ht="26.25" x14ac:dyDescent="0.4">
      <c r="B9" s="137"/>
      <c r="C9" s="21" t="s">
        <v>129</v>
      </c>
      <c r="G9" s="1"/>
      <c r="H9" s="1"/>
      <c r="I9" s="37"/>
    </row>
    <row r="10" spans="2:9" ht="26.25" x14ac:dyDescent="0.4">
      <c r="B10" s="137"/>
      <c r="C10" s="21" t="s">
        <v>245</v>
      </c>
    </row>
    <row r="11" spans="2:9" ht="26.25" x14ac:dyDescent="0.4">
      <c r="B11" s="137" t="s">
        <v>267</v>
      </c>
      <c r="C11" s="21" t="s">
        <v>29</v>
      </c>
    </row>
    <row r="12" spans="2:9" ht="26.25" x14ac:dyDescent="0.4">
      <c r="B12" s="137"/>
      <c r="C12" s="21" t="s">
        <v>17</v>
      </c>
    </row>
    <row r="13" spans="2:9" ht="26.25" x14ac:dyDescent="0.4">
      <c r="B13" s="137"/>
      <c r="C13" s="21" t="s">
        <v>0</v>
      </c>
    </row>
    <row r="14" spans="2:9" ht="26.25" x14ac:dyDescent="0.4">
      <c r="B14" s="137" t="s">
        <v>265</v>
      </c>
      <c r="C14" s="21" t="s">
        <v>253</v>
      </c>
    </row>
    <row r="15" spans="2:9" ht="26.25" x14ac:dyDescent="0.4">
      <c r="B15" s="137"/>
      <c r="C15" s="21" t="s">
        <v>254</v>
      </c>
    </row>
    <row r="16" spans="2:9" ht="26.25" x14ac:dyDescent="0.4">
      <c r="B16" s="137"/>
      <c r="C16" s="21" t="s">
        <v>65</v>
      </c>
    </row>
    <row r="17" spans="2:3" ht="26.25" x14ac:dyDescent="0.4">
      <c r="B17" s="137"/>
      <c r="C17" s="21" t="s">
        <v>72</v>
      </c>
    </row>
    <row r="18" spans="2:3" ht="26.25" x14ac:dyDescent="0.4">
      <c r="B18" s="137" t="s">
        <v>264</v>
      </c>
      <c r="C18" s="21" t="s">
        <v>13</v>
      </c>
    </row>
    <row r="19" spans="2:3" ht="26.25" x14ac:dyDescent="0.4">
      <c r="B19" s="137"/>
      <c r="C19" s="21" t="s">
        <v>49</v>
      </c>
    </row>
    <row r="20" spans="2:3" ht="26.25" x14ac:dyDescent="0.4">
      <c r="B20" s="137"/>
      <c r="C20" s="21" t="s">
        <v>22</v>
      </c>
    </row>
    <row r="21" spans="2:3" ht="26.25" x14ac:dyDescent="0.4">
      <c r="B21" s="137"/>
      <c r="C21" s="21" t="s">
        <v>25</v>
      </c>
    </row>
    <row r="22" spans="2:3" ht="26.25" x14ac:dyDescent="0.4">
      <c r="B22" s="137" t="s">
        <v>263</v>
      </c>
      <c r="C22" s="21" t="s">
        <v>7</v>
      </c>
    </row>
    <row r="23" spans="2:3" ht="26.25" x14ac:dyDescent="0.4">
      <c r="B23" s="137"/>
      <c r="C23" s="21" t="s">
        <v>5</v>
      </c>
    </row>
    <row r="24" spans="2:3" ht="26.25" x14ac:dyDescent="0.4">
      <c r="B24" s="137"/>
      <c r="C24" s="21" t="s">
        <v>255</v>
      </c>
    </row>
    <row r="25" spans="2:3" ht="26.25" x14ac:dyDescent="0.4">
      <c r="B25" s="137"/>
      <c r="C25" s="21" t="s">
        <v>75</v>
      </c>
    </row>
    <row r="26" spans="2:3" ht="26.25" x14ac:dyDescent="0.4">
      <c r="B26" s="137"/>
      <c r="C26" s="21" t="s">
        <v>20</v>
      </c>
    </row>
    <row r="27" spans="2:3" ht="26.25" x14ac:dyDescent="0.4">
      <c r="B27" s="137" t="s">
        <v>262</v>
      </c>
      <c r="C27" s="21" t="s">
        <v>103</v>
      </c>
    </row>
    <row r="28" spans="2:3" ht="26.25" x14ac:dyDescent="0.4">
      <c r="B28" s="137"/>
      <c r="C28" s="21" t="s">
        <v>82</v>
      </c>
    </row>
    <row r="29" spans="2:3" ht="26.25" x14ac:dyDescent="0.4">
      <c r="B29" s="137"/>
      <c r="C29" s="21" t="s">
        <v>155</v>
      </c>
    </row>
    <row r="30" spans="2:3" ht="26.25" x14ac:dyDescent="0.4">
      <c r="B30" s="137"/>
      <c r="C30" s="21" t="s">
        <v>91</v>
      </c>
    </row>
    <row r="31" spans="2:3" ht="26.25" x14ac:dyDescent="0.4">
      <c r="B31" s="137"/>
      <c r="C31" s="21" t="s">
        <v>111</v>
      </c>
    </row>
    <row r="32" spans="2:3" ht="26.25" x14ac:dyDescent="0.4">
      <c r="B32" s="24" t="s">
        <v>261</v>
      </c>
      <c r="C32" s="21" t="s">
        <v>98</v>
      </c>
    </row>
    <row r="33" spans="2:3" ht="26.25" x14ac:dyDescent="0.4">
      <c r="B33" s="137" t="s">
        <v>260</v>
      </c>
      <c r="C33" s="21" t="s">
        <v>259</v>
      </c>
    </row>
    <row r="34" spans="2:3" ht="26.25" x14ac:dyDescent="0.4">
      <c r="B34" s="137"/>
      <c r="C34" s="21" t="s">
        <v>93</v>
      </c>
    </row>
    <row r="35" spans="2:3" ht="26.25" x14ac:dyDescent="0.4">
      <c r="B35" s="137"/>
      <c r="C35" s="21" t="s">
        <v>26</v>
      </c>
    </row>
    <row r="36" spans="2:3" ht="26.25" x14ac:dyDescent="0.4">
      <c r="B36" s="137" t="s">
        <v>269</v>
      </c>
      <c r="C36" s="21" t="s">
        <v>112</v>
      </c>
    </row>
    <row r="37" spans="2:3" ht="26.25" x14ac:dyDescent="0.4">
      <c r="B37" s="137"/>
      <c r="C37" s="21" t="s">
        <v>268</v>
      </c>
    </row>
    <row r="38" spans="2:3" ht="26.25" x14ac:dyDescent="0.4">
      <c r="B38" s="137"/>
      <c r="C38" s="21" t="s">
        <v>143</v>
      </c>
    </row>
    <row r="39" spans="2:3" ht="26.25" x14ac:dyDescent="0.4">
      <c r="B39" s="137" t="s">
        <v>270</v>
      </c>
      <c r="C39" s="21" t="s">
        <v>271</v>
      </c>
    </row>
    <row r="40" spans="2:3" ht="26.25" x14ac:dyDescent="0.4">
      <c r="B40" s="137"/>
      <c r="C40" s="21" t="s">
        <v>272</v>
      </c>
    </row>
    <row r="41" spans="2:3" ht="26.25" x14ac:dyDescent="0.4">
      <c r="B41" s="137"/>
      <c r="C41" s="21" t="s">
        <v>273</v>
      </c>
    </row>
    <row r="42" spans="2:3" ht="26.25" x14ac:dyDescent="0.4">
      <c r="B42" s="21" t="s">
        <v>274</v>
      </c>
      <c r="C42" s="21" t="s">
        <v>275</v>
      </c>
    </row>
    <row r="43" spans="2:3" ht="26.25" x14ac:dyDescent="0.4">
      <c r="B43" s="137" t="s">
        <v>276</v>
      </c>
      <c r="C43" s="21" t="s">
        <v>116</v>
      </c>
    </row>
    <row r="44" spans="2:3" ht="26.25" x14ac:dyDescent="0.4">
      <c r="B44" s="137"/>
      <c r="C44" s="21" t="s">
        <v>132</v>
      </c>
    </row>
    <row r="45" spans="2:3" ht="26.25" x14ac:dyDescent="0.4">
      <c r="B45" s="137"/>
      <c r="C45" s="21" t="s">
        <v>142</v>
      </c>
    </row>
    <row r="46" spans="2:3" ht="26.25" x14ac:dyDescent="0.4">
      <c r="B46" s="137" t="s">
        <v>277</v>
      </c>
      <c r="C46" s="21" t="s">
        <v>278</v>
      </c>
    </row>
    <row r="47" spans="2:3" ht="26.25" x14ac:dyDescent="0.4">
      <c r="B47" s="137"/>
      <c r="C47" s="21" t="s">
        <v>128</v>
      </c>
    </row>
    <row r="48" spans="2:3" ht="26.25" x14ac:dyDescent="0.4">
      <c r="B48" s="21" t="s">
        <v>352</v>
      </c>
      <c r="C48" s="21" t="s">
        <v>353</v>
      </c>
    </row>
    <row r="49" spans="2:3" ht="26.25" x14ac:dyDescent="0.4">
      <c r="B49" s="21" t="s">
        <v>354</v>
      </c>
      <c r="C49" s="21" t="s">
        <v>355</v>
      </c>
    </row>
    <row r="50" spans="2:3" ht="26.25" x14ac:dyDescent="0.4">
      <c r="B50" s="21" t="s">
        <v>356</v>
      </c>
      <c r="C50" s="21" t="s">
        <v>357</v>
      </c>
    </row>
    <row r="51" spans="2:3" ht="26.25" x14ac:dyDescent="0.4">
      <c r="B51" s="137" t="s">
        <v>434</v>
      </c>
      <c r="C51" s="21" t="s">
        <v>397</v>
      </c>
    </row>
    <row r="52" spans="2:3" ht="26.25" x14ac:dyDescent="0.4">
      <c r="B52" s="137"/>
      <c r="C52" s="21" t="s">
        <v>398</v>
      </c>
    </row>
  </sheetData>
  <mergeCells count="13">
    <mergeCell ref="B51:B52"/>
    <mergeCell ref="B2:C2"/>
    <mergeCell ref="B18:B21"/>
    <mergeCell ref="B27:B31"/>
    <mergeCell ref="B3:B10"/>
    <mergeCell ref="B11:B13"/>
    <mergeCell ref="B14:B17"/>
    <mergeCell ref="B22:B26"/>
    <mergeCell ref="B43:B45"/>
    <mergeCell ref="B46:B47"/>
    <mergeCell ref="B33:B35"/>
    <mergeCell ref="B36:B38"/>
    <mergeCell ref="B39:B41"/>
  </mergeCells>
  <pageMargins left="0.7" right="0.7" top="0.75" bottom="0.75" header="0.3" footer="0.3"/>
  <pageSetup scale="45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B2:L62"/>
  <sheetViews>
    <sheetView tabSelected="1" zoomScale="70" zoomScaleNormal="70" workbookViewId="0">
      <selection activeCell="G66" sqref="G66"/>
    </sheetView>
  </sheetViews>
  <sheetFormatPr defaultColWidth="11.42578125" defaultRowHeight="15" x14ac:dyDescent="0.25"/>
  <cols>
    <col min="2" max="2" width="27.140625" style="13" bestFit="1" customWidth="1"/>
    <col min="3" max="3" width="26.85546875" style="13" bestFit="1" customWidth="1"/>
    <col min="4" max="4" width="42.85546875" bestFit="1" customWidth="1"/>
    <col min="5" max="5" width="12.85546875" bestFit="1" customWidth="1"/>
    <col min="6" max="6" width="16" bestFit="1" customWidth="1"/>
    <col min="7" max="7" width="19.28515625" style="9" bestFit="1" customWidth="1"/>
    <col min="8" max="8" width="30.85546875" bestFit="1" customWidth="1"/>
    <col min="9" max="9" width="18.5703125" bestFit="1" customWidth="1"/>
    <col min="10" max="10" width="21.85546875" bestFit="1" customWidth="1"/>
  </cols>
  <sheetData>
    <row r="2" spans="2:9" ht="18.75" x14ac:dyDescent="0.3">
      <c r="B2" s="14" t="s">
        <v>485</v>
      </c>
      <c r="C2" s="14" t="s">
        <v>247</v>
      </c>
      <c r="D2" s="15" t="s">
        <v>248</v>
      </c>
      <c r="E2" s="15" t="s">
        <v>193</v>
      </c>
      <c r="F2" s="68" t="s">
        <v>194</v>
      </c>
      <c r="G2" s="15" t="s">
        <v>504</v>
      </c>
      <c r="H2" s="15"/>
    </row>
    <row r="3" spans="2:9" x14ac:dyDescent="0.25">
      <c r="B3" s="140" t="s">
        <v>106</v>
      </c>
      <c r="C3" s="139" t="s">
        <v>1</v>
      </c>
      <c r="D3" s="99" t="s">
        <v>107</v>
      </c>
      <c r="E3" s="100" t="s">
        <v>24</v>
      </c>
      <c r="F3" s="101">
        <v>15600</v>
      </c>
      <c r="G3" s="10">
        <v>17000</v>
      </c>
      <c r="H3" s="2"/>
      <c r="I3">
        <v>15750</v>
      </c>
    </row>
    <row r="4" spans="2:9" x14ac:dyDescent="0.25">
      <c r="B4" s="142"/>
      <c r="C4" s="139"/>
      <c r="D4" s="99" t="s">
        <v>107</v>
      </c>
      <c r="E4" s="100" t="s">
        <v>41</v>
      </c>
      <c r="F4" s="101">
        <v>24600</v>
      </c>
      <c r="G4" s="10">
        <v>27000</v>
      </c>
      <c r="H4" s="2"/>
      <c r="I4">
        <v>26950</v>
      </c>
    </row>
    <row r="5" spans="2:9" x14ac:dyDescent="0.25">
      <c r="B5" s="142"/>
      <c r="C5" s="139"/>
      <c r="D5" s="5" t="s">
        <v>37</v>
      </c>
      <c r="E5" s="2" t="s">
        <v>24</v>
      </c>
      <c r="F5" s="8">
        <v>15600</v>
      </c>
      <c r="G5" s="10">
        <v>17000</v>
      </c>
      <c r="H5" s="2"/>
    </row>
    <row r="6" spans="2:9" x14ac:dyDescent="0.25">
      <c r="B6" s="142"/>
      <c r="C6" s="139"/>
      <c r="D6" s="99" t="s">
        <v>37</v>
      </c>
      <c r="E6" s="100" t="s">
        <v>41</v>
      </c>
      <c r="F6" s="101">
        <v>24600</v>
      </c>
      <c r="G6" s="10">
        <v>27000</v>
      </c>
      <c r="H6" s="2"/>
    </row>
    <row r="7" spans="2:9" x14ac:dyDescent="0.25">
      <c r="B7" s="142"/>
      <c r="C7" s="139"/>
      <c r="D7" s="99" t="s">
        <v>108</v>
      </c>
      <c r="E7" s="100" t="s">
        <v>109</v>
      </c>
      <c r="F7" s="101">
        <v>25700</v>
      </c>
      <c r="G7" s="10">
        <v>28000</v>
      </c>
      <c r="H7" s="2"/>
    </row>
    <row r="8" spans="2:9" x14ac:dyDescent="0.25">
      <c r="B8" s="142"/>
      <c r="C8" s="139"/>
      <c r="D8" s="5" t="s">
        <v>469</v>
      </c>
      <c r="E8" s="2" t="s">
        <v>24</v>
      </c>
      <c r="F8" s="8">
        <v>16000</v>
      </c>
      <c r="G8" s="10">
        <v>18000</v>
      </c>
      <c r="H8" s="2"/>
    </row>
    <row r="10" spans="2:9" x14ac:dyDescent="0.25">
      <c r="B10" s="140" t="s">
        <v>36</v>
      </c>
      <c r="C10" s="139" t="s">
        <v>4</v>
      </c>
      <c r="D10" s="5" t="s">
        <v>598</v>
      </c>
      <c r="E10" s="5" t="s">
        <v>34</v>
      </c>
      <c r="F10" s="6">
        <v>23500</v>
      </c>
      <c r="G10" s="10">
        <v>26000</v>
      </c>
      <c r="H10" s="2"/>
    </row>
    <row r="11" spans="2:9" x14ac:dyDescent="0.25">
      <c r="B11" s="140"/>
      <c r="C11" s="139"/>
      <c r="D11" s="5" t="s">
        <v>599</v>
      </c>
      <c r="E11" s="5" t="s">
        <v>8</v>
      </c>
      <c r="F11" s="6">
        <v>23500</v>
      </c>
      <c r="G11" s="10">
        <v>26000</v>
      </c>
      <c r="H11" s="2"/>
    </row>
    <row r="12" spans="2:9" x14ac:dyDescent="0.25">
      <c r="B12" s="140"/>
      <c r="C12" s="139"/>
      <c r="D12" s="5" t="s">
        <v>600</v>
      </c>
      <c r="E12" s="5" t="s">
        <v>34</v>
      </c>
      <c r="F12" s="6">
        <v>25000</v>
      </c>
      <c r="G12" s="10">
        <v>27000</v>
      </c>
      <c r="H12" s="2"/>
    </row>
    <row r="13" spans="2:9" x14ac:dyDescent="0.25">
      <c r="B13" s="140"/>
      <c r="C13" s="139" t="s">
        <v>1</v>
      </c>
      <c r="D13" s="5" t="s">
        <v>39</v>
      </c>
      <c r="E13" s="5" t="s">
        <v>3</v>
      </c>
      <c r="F13" s="6">
        <v>16500</v>
      </c>
      <c r="G13" s="10"/>
      <c r="H13" s="2"/>
    </row>
    <row r="14" spans="2:9" x14ac:dyDescent="0.25">
      <c r="B14" s="140"/>
      <c r="C14" s="139"/>
      <c r="D14" s="5" t="s">
        <v>40</v>
      </c>
      <c r="E14" s="5" t="s">
        <v>3</v>
      </c>
      <c r="F14" s="6">
        <v>17000</v>
      </c>
      <c r="G14" s="10"/>
      <c r="H14" s="2"/>
    </row>
    <row r="15" spans="2:9" x14ac:dyDescent="0.25">
      <c r="B15" s="140"/>
      <c r="C15" s="139"/>
      <c r="D15" s="5" t="s">
        <v>39</v>
      </c>
      <c r="E15" s="5" t="s">
        <v>41</v>
      </c>
      <c r="F15" s="6">
        <v>19500</v>
      </c>
      <c r="G15" s="10"/>
      <c r="H15" s="2"/>
    </row>
    <row r="16" spans="2:9" x14ac:dyDescent="0.25">
      <c r="B16" s="140"/>
      <c r="C16" s="139"/>
      <c r="D16" s="5" t="s">
        <v>40</v>
      </c>
      <c r="E16" s="5" t="s">
        <v>41</v>
      </c>
      <c r="F16" s="6">
        <v>19000</v>
      </c>
      <c r="G16" s="10"/>
      <c r="H16" s="2"/>
    </row>
    <row r="17" spans="2:12" x14ac:dyDescent="0.25">
      <c r="D17" s="1"/>
      <c r="E17" s="1"/>
      <c r="F17" s="12"/>
    </row>
    <row r="18" spans="2:12" ht="18.75" customHeight="1" x14ac:dyDescent="0.25">
      <c r="B18" s="140" t="s">
        <v>252</v>
      </c>
      <c r="C18" s="4" t="s">
        <v>4</v>
      </c>
      <c r="D18" s="5" t="s">
        <v>15</v>
      </c>
      <c r="E18" s="5" t="s">
        <v>11</v>
      </c>
      <c r="F18" s="6">
        <v>19000</v>
      </c>
      <c r="G18" s="10">
        <v>20000</v>
      </c>
      <c r="H18" s="40"/>
      <c r="I18" s="2" t="s">
        <v>450</v>
      </c>
    </row>
    <row r="19" spans="2:12" ht="15" customHeight="1" x14ac:dyDescent="0.25">
      <c r="B19" s="140"/>
      <c r="C19" s="4" t="s">
        <v>1</v>
      </c>
      <c r="D19" s="5" t="s">
        <v>16</v>
      </c>
      <c r="E19" s="5" t="s">
        <v>8</v>
      </c>
      <c r="F19" s="6">
        <v>23000</v>
      </c>
      <c r="G19" s="8">
        <v>27000</v>
      </c>
      <c r="H19" s="2"/>
    </row>
    <row r="21" spans="2:12" x14ac:dyDescent="0.25">
      <c r="B21" s="140" t="s">
        <v>55</v>
      </c>
      <c r="C21" s="139" t="s">
        <v>4</v>
      </c>
      <c r="D21" s="5" t="s">
        <v>56</v>
      </c>
      <c r="E21" s="5" t="s">
        <v>34</v>
      </c>
      <c r="F21" s="6">
        <v>21000</v>
      </c>
      <c r="G21" s="10">
        <v>23000</v>
      </c>
      <c r="H21" s="2"/>
    </row>
    <row r="22" spans="2:12" x14ac:dyDescent="0.25">
      <c r="B22" s="142"/>
      <c r="C22" s="139"/>
      <c r="D22" s="5" t="s">
        <v>57</v>
      </c>
      <c r="E22" s="5" t="s">
        <v>34</v>
      </c>
      <c r="F22" s="6">
        <v>21000</v>
      </c>
      <c r="G22" s="10">
        <v>23000</v>
      </c>
      <c r="H22" s="2"/>
      <c r="I22">
        <v>22500</v>
      </c>
    </row>
    <row r="23" spans="2:12" x14ac:dyDescent="0.25">
      <c r="B23" s="142"/>
      <c r="C23" s="139"/>
      <c r="D23" s="5" t="s">
        <v>58</v>
      </c>
      <c r="E23" s="5" t="s">
        <v>11</v>
      </c>
      <c r="F23" s="6">
        <v>21000</v>
      </c>
      <c r="G23" s="10">
        <v>23000</v>
      </c>
      <c r="H23" s="2"/>
      <c r="J23" s="5" t="s">
        <v>58</v>
      </c>
      <c r="K23" s="5" t="s">
        <v>11</v>
      </c>
      <c r="L23" s="6">
        <v>23800</v>
      </c>
    </row>
    <row r="24" spans="2:12" x14ac:dyDescent="0.25">
      <c r="B24" s="140" t="s">
        <v>59</v>
      </c>
      <c r="C24" s="139" t="s">
        <v>1</v>
      </c>
      <c r="D24" s="5" t="s">
        <v>60</v>
      </c>
      <c r="E24" s="5" t="s">
        <v>3</v>
      </c>
      <c r="F24" s="6">
        <v>15000</v>
      </c>
      <c r="G24" s="10">
        <v>17000</v>
      </c>
      <c r="H24" s="2"/>
    </row>
    <row r="25" spans="2:12" x14ac:dyDescent="0.25">
      <c r="B25" s="140"/>
      <c r="C25" s="139"/>
      <c r="D25" s="5" t="s">
        <v>61</v>
      </c>
      <c r="E25" s="5" t="s">
        <v>3</v>
      </c>
      <c r="F25" s="6">
        <v>15000</v>
      </c>
      <c r="G25" s="10">
        <v>17000</v>
      </c>
      <c r="H25" s="2"/>
    </row>
    <row r="27" spans="2:12" ht="23.25" x14ac:dyDescent="0.25">
      <c r="B27" s="51" t="s">
        <v>220</v>
      </c>
      <c r="C27" s="4" t="s">
        <v>4</v>
      </c>
      <c r="D27" s="5" t="s">
        <v>221</v>
      </c>
      <c r="E27" s="5" t="s">
        <v>3</v>
      </c>
      <c r="F27" s="6">
        <v>10000</v>
      </c>
      <c r="G27" s="10">
        <v>10000</v>
      </c>
      <c r="H27" s="2"/>
    </row>
    <row r="29" spans="2:12" ht="15" customHeight="1" x14ac:dyDescent="0.25">
      <c r="B29" s="143" t="s">
        <v>129</v>
      </c>
      <c r="C29" s="139" t="s">
        <v>4</v>
      </c>
      <c r="D29" s="5" t="s">
        <v>130</v>
      </c>
      <c r="E29" s="2" t="s">
        <v>11</v>
      </c>
      <c r="F29" s="8">
        <v>31500</v>
      </c>
      <c r="G29" s="10">
        <v>32000</v>
      </c>
      <c r="H29" s="2"/>
    </row>
    <row r="30" spans="2:12" ht="15" customHeight="1" x14ac:dyDescent="0.25">
      <c r="B30" s="143"/>
      <c r="C30" s="139"/>
      <c r="D30" s="2" t="s">
        <v>131</v>
      </c>
      <c r="E30" s="2" t="s">
        <v>11</v>
      </c>
      <c r="F30" s="8">
        <v>34000</v>
      </c>
      <c r="G30" s="10">
        <v>35000</v>
      </c>
      <c r="H30" s="2"/>
    </row>
    <row r="31" spans="2:12" ht="15" customHeight="1" x14ac:dyDescent="0.25">
      <c r="B31" s="143"/>
      <c r="C31" s="139"/>
      <c r="D31" s="5" t="s">
        <v>130</v>
      </c>
      <c r="E31" s="2" t="s">
        <v>41</v>
      </c>
      <c r="F31" s="8">
        <v>21000</v>
      </c>
      <c r="G31" s="10"/>
      <c r="H31" s="2"/>
    </row>
    <row r="32" spans="2:12" ht="15" customHeight="1" x14ac:dyDescent="0.25">
      <c r="B32" s="143"/>
      <c r="C32" s="139"/>
      <c r="D32" s="2" t="s">
        <v>131</v>
      </c>
      <c r="E32" s="2" t="s">
        <v>41</v>
      </c>
      <c r="F32" s="8">
        <v>25000</v>
      </c>
      <c r="G32" s="10">
        <v>18000</v>
      </c>
      <c r="H32" s="2"/>
    </row>
    <row r="33" spans="2:8" hidden="1" x14ac:dyDescent="0.25"/>
    <row r="34" spans="2:8" ht="15" hidden="1" customHeight="1" x14ac:dyDescent="0.25">
      <c r="B34" s="140" t="s">
        <v>245</v>
      </c>
      <c r="C34" s="141" t="s">
        <v>240</v>
      </c>
      <c r="D34" s="2" t="s">
        <v>222</v>
      </c>
      <c r="E34" s="2" t="s">
        <v>223</v>
      </c>
      <c r="F34" s="8">
        <v>8000</v>
      </c>
      <c r="G34" s="10"/>
      <c r="H34" s="2"/>
    </row>
    <row r="35" spans="2:8" ht="15" hidden="1" customHeight="1" x14ac:dyDescent="0.25">
      <c r="B35" s="140"/>
      <c r="C35" s="141"/>
      <c r="D35" s="2" t="s">
        <v>222</v>
      </c>
      <c r="E35" s="2" t="s">
        <v>224</v>
      </c>
      <c r="F35" s="8">
        <v>14600</v>
      </c>
      <c r="G35" s="10"/>
      <c r="H35" s="2"/>
    </row>
    <row r="36" spans="2:8" hidden="1" x14ac:dyDescent="0.25">
      <c r="B36" s="140"/>
      <c r="C36" s="141"/>
      <c r="D36" s="2" t="s">
        <v>222</v>
      </c>
      <c r="E36" s="2" t="s">
        <v>225</v>
      </c>
      <c r="F36" s="8">
        <v>31000</v>
      </c>
      <c r="G36" s="10"/>
      <c r="H36" s="2"/>
    </row>
    <row r="37" spans="2:8" hidden="1" x14ac:dyDescent="0.25">
      <c r="B37" s="140"/>
      <c r="C37" s="141"/>
      <c r="D37" s="2" t="s">
        <v>226</v>
      </c>
      <c r="E37" s="2" t="s">
        <v>223</v>
      </c>
      <c r="F37" s="8">
        <v>7200</v>
      </c>
      <c r="G37" s="10"/>
      <c r="H37" s="2"/>
    </row>
    <row r="38" spans="2:8" hidden="1" x14ac:dyDescent="0.25">
      <c r="B38" s="140"/>
      <c r="C38" s="141"/>
      <c r="D38" s="2" t="s">
        <v>226</v>
      </c>
      <c r="E38" s="2" t="s">
        <v>224</v>
      </c>
      <c r="F38" s="8">
        <v>14600</v>
      </c>
      <c r="G38" s="10"/>
      <c r="H38" s="2"/>
    </row>
    <row r="39" spans="2:8" hidden="1" x14ac:dyDescent="0.25">
      <c r="B39" s="140"/>
      <c r="C39" s="141"/>
      <c r="D39" s="2" t="s">
        <v>226</v>
      </c>
      <c r="E39" s="2" t="s">
        <v>225</v>
      </c>
      <c r="F39" s="8">
        <v>25300</v>
      </c>
      <c r="G39" s="10"/>
      <c r="H39" s="2"/>
    </row>
    <row r="40" spans="2:8" hidden="1" x14ac:dyDescent="0.25">
      <c r="B40" s="140"/>
      <c r="C40" s="141" t="s">
        <v>241</v>
      </c>
      <c r="D40" s="2" t="s">
        <v>227</v>
      </c>
      <c r="E40" s="2" t="s">
        <v>224</v>
      </c>
      <c r="F40" s="8">
        <v>16500</v>
      </c>
      <c r="G40" s="10"/>
      <c r="H40" s="2"/>
    </row>
    <row r="41" spans="2:8" hidden="1" x14ac:dyDescent="0.25">
      <c r="B41" s="140"/>
      <c r="C41" s="141"/>
      <c r="D41" s="2" t="s">
        <v>227</v>
      </c>
      <c r="E41" s="2" t="s">
        <v>225</v>
      </c>
      <c r="F41" s="8">
        <v>31500</v>
      </c>
      <c r="G41" s="10"/>
      <c r="H41" s="2"/>
    </row>
    <row r="42" spans="2:8" hidden="1" x14ac:dyDescent="0.25">
      <c r="B42" s="140"/>
      <c r="C42" s="141"/>
      <c r="D42" s="2" t="s">
        <v>227</v>
      </c>
      <c r="E42" s="2" t="s">
        <v>228</v>
      </c>
      <c r="F42" s="8">
        <v>42500</v>
      </c>
      <c r="G42" s="10"/>
      <c r="H42" s="2"/>
    </row>
    <row r="43" spans="2:8" hidden="1" x14ac:dyDescent="0.25">
      <c r="B43" s="140"/>
      <c r="C43" s="141"/>
      <c r="D43" s="2" t="s">
        <v>227</v>
      </c>
      <c r="E43" s="2" t="s">
        <v>224</v>
      </c>
      <c r="F43" s="8">
        <v>15500</v>
      </c>
      <c r="G43" s="10"/>
      <c r="H43" s="2"/>
    </row>
    <row r="44" spans="2:8" hidden="1" x14ac:dyDescent="0.25">
      <c r="B44" s="140"/>
      <c r="C44" s="141"/>
      <c r="D44" s="2" t="s">
        <v>229</v>
      </c>
      <c r="E44" s="2" t="s">
        <v>225</v>
      </c>
      <c r="F44" s="8">
        <v>27000</v>
      </c>
      <c r="G44" s="10"/>
      <c r="H44" s="2"/>
    </row>
    <row r="45" spans="2:8" hidden="1" x14ac:dyDescent="0.25">
      <c r="B45" s="140"/>
      <c r="C45" s="141"/>
      <c r="D45" s="2" t="s">
        <v>229</v>
      </c>
      <c r="E45" s="2" t="s">
        <v>228</v>
      </c>
      <c r="F45" s="8">
        <v>39000</v>
      </c>
      <c r="G45" s="10"/>
      <c r="H45" s="2"/>
    </row>
    <row r="46" spans="2:8" hidden="1" x14ac:dyDescent="0.25">
      <c r="B46" s="140"/>
      <c r="C46" s="141" t="s">
        <v>242</v>
      </c>
      <c r="D46" s="2" t="s">
        <v>230</v>
      </c>
      <c r="E46" s="2" t="s">
        <v>224</v>
      </c>
      <c r="F46" s="8">
        <v>17000</v>
      </c>
      <c r="G46" s="10"/>
      <c r="H46" s="2"/>
    </row>
    <row r="47" spans="2:8" hidden="1" x14ac:dyDescent="0.25">
      <c r="B47" s="140"/>
      <c r="C47" s="141"/>
      <c r="D47" s="2" t="s">
        <v>230</v>
      </c>
      <c r="E47" s="2" t="s">
        <v>228</v>
      </c>
      <c r="F47" s="8">
        <v>46000</v>
      </c>
      <c r="G47" s="10"/>
      <c r="H47" s="2"/>
    </row>
    <row r="48" spans="2:8" hidden="1" x14ac:dyDescent="0.25">
      <c r="B48" s="140"/>
      <c r="C48" s="141"/>
      <c r="D48" s="2" t="s">
        <v>231</v>
      </c>
      <c r="E48" s="2" t="s">
        <v>224</v>
      </c>
      <c r="F48" s="8">
        <v>17700</v>
      </c>
      <c r="G48" s="10"/>
      <c r="H48" s="2"/>
    </row>
    <row r="49" spans="2:8" hidden="1" x14ac:dyDescent="0.25">
      <c r="B49" s="140"/>
      <c r="C49" s="141"/>
      <c r="D49" s="2" t="s">
        <v>231</v>
      </c>
      <c r="E49" s="2" t="s">
        <v>228</v>
      </c>
      <c r="F49" s="8">
        <v>41000</v>
      </c>
      <c r="G49" s="10"/>
      <c r="H49" s="2"/>
    </row>
    <row r="50" spans="2:8" hidden="1" x14ac:dyDescent="0.25">
      <c r="B50" s="140"/>
      <c r="C50" s="141"/>
      <c r="D50" s="2" t="s">
        <v>231</v>
      </c>
      <c r="E50" s="2" t="s">
        <v>232</v>
      </c>
      <c r="F50" s="8">
        <v>61000</v>
      </c>
      <c r="G50" s="10"/>
      <c r="H50" s="2"/>
    </row>
    <row r="51" spans="2:8" hidden="1" x14ac:dyDescent="0.25">
      <c r="B51" s="140"/>
      <c r="C51" s="139" t="s">
        <v>243</v>
      </c>
      <c r="D51" s="2" t="s">
        <v>233</v>
      </c>
      <c r="E51" s="2" t="s">
        <v>224</v>
      </c>
      <c r="F51" s="8">
        <v>17700</v>
      </c>
      <c r="G51" s="10"/>
      <c r="H51" s="2"/>
    </row>
    <row r="52" spans="2:8" hidden="1" x14ac:dyDescent="0.25">
      <c r="B52" s="140"/>
      <c r="C52" s="139"/>
      <c r="D52" s="2" t="s">
        <v>233</v>
      </c>
      <c r="E52" s="2" t="s">
        <v>234</v>
      </c>
      <c r="F52" s="8">
        <v>31500</v>
      </c>
      <c r="G52" s="10"/>
      <c r="H52" s="2"/>
    </row>
    <row r="53" spans="2:8" hidden="1" x14ac:dyDescent="0.25">
      <c r="B53" s="140"/>
      <c r="C53" s="139"/>
      <c r="D53" s="2" t="s">
        <v>235</v>
      </c>
      <c r="E53" s="2" t="s">
        <v>224</v>
      </c>
      <c r="F53" s="8">
        <v>17700</v>
      </c>
      <c r="G53" s="10"/>
      <c r="H53" s="2"/>
    </row>
    <row r="54" spans="2:8" hidden="1" x14ac:dyDescent="0.25">
      <c r="B54" s="140"/>
      <c r="C54" s="139"/>
      <c r="D54" s="2" t="s">
        <v>235</v>
      </c>
      <c r="E54" s="2" t="s">
        <v>228</v>
      </c>
      <c r="F54" s="8">
        <v>44000</v>
      </c>
      <c r="G54" s="10"/>
      <c r="H54" s="2"/>
    </row>
    <row r="55" spans="2:8" hidden="1" x14ac:dyDescent="0.25">
      <c r="B55" s="140"/>
      <c r="C55" s="139" t="s">
        <v>1</v>
      </c>
      <c r="D55" s="2" t="s">
        <v>236</v>
      </c>
      <c r="E55" s="2" t="s">
        <v>237</v>
      </c>
      <c r="F55" s="8">
        <v>13300</v>
      </c>
      <c r="G55" s="10"/>
      <c r="H55" s="2"/>
    </row>
    <row r="56" spans="2:8" hidden="1" x14ac:dyDescent="0.25">
      <c r="B56" s="140"/>
      <c r="C56" s="139"/>
      <c r="D56" s="2" t="s">
        <v>236</v>
      </c>
      <c r="E56" s="2" t="s">
        <v>234</v>
      </c>
      <c r="F56" s="8">
        <v>30000</v>
      </c>
      <c r="G56" s="10"/>
      <c r="H56" s="2"/>
    </row>
    <row r="57" spans="2:8" hidden="1" x14ac:dyDescent="0.25">
      <c r="B57" s="140"/>
      <c r="C57" s="139"/>
      <c r="D57" s="2" t="s">
        <v>238</v>
      </c>
      <c r="E57" s="2" t="s">
        <v>237</v>
      </c>
      <c r="F57" s="8">
        <v>12700</v>
      </c>
      <c r="G57" s="10"/>
      <c r="H57" s="2"/>
    </row>
    <row r="58" spans="2:8" hidden="1" x14ac:dyDescent="0.25">
      <c r="B58" s="140"/>
      <c r="C58" s="139"/>
      <c r="D58" s="2" t="s">
        <v>238</v>
      </c>
      <c r="E58" s="2" t="s">
        <v>234</v>
      </c>
      <c r="F58" s="8">
        <v>26500</v>
      </c>
      <c r="G58" s="10"/>
      <c r="H58" s="2"/>
    </row>
    <row r="59" spans="2:8" hidden="1" x14ac:dyDescent="0.25">
      <c r="B59" s="140"/>
      <c r="C59" s="139"/>
      <c r="D59" s="2" t="s">
        <v>238</v>
      </c>
      <c r="E59" s="2" t="s">
        <v>228</v>
      </c>
      <c r="F59" s="8">
        <v>41000</v>
      </c>
      <c r="G59" s="10"/>
      <c r="H59" s="2"/>
    </row>
    <row r="60" spans="2:8" ht="18.75" hidden="1" x14ac:dyDescent="0.25">
      <c r="B60" s="140"/>
      <c r="C60" s="4" t="s">
        <v>244</v>
      </c>
      <c r="D60" s="2" t="s">
        <v>239</v>
      </c>
      <c r="E60" s="2" t="s">
        <v>237</v>
      </c>
      <c r="F60" s="8">
        <v>13000</v>
      </c>
      <c r="G60" s="10"/>
      <c r="H60" s="2"/>
    </row>
    <row r="62" spans="2:8" ht="23.25" x14ac:dyDescent="0.25">
      <c r="B62" s="51" t="s">
        <v>496</v>
      </c>
      <c r="C62" s="23" t="s">
        <v>4</v>
      </c>
      <c r="D62" s="5" t="s">
        <v>497</v>
      </c>
      <c r="E62" s="5" t="s">
        <v>11</v>
      </c>
      <c r="F62" s="52">
        <v>20000</v>
      </c>
      <c r="G62" s="48">
        <v>23000</v>
      </c>
      <c r="H62" s="2"/>
    </row>
  </sheetData>
  <mergeCells count="18">
    <mergeCell ref="B24:B25"/>
    <mergeCell ref="C24:C25"/>
    <mergeCell ref="C55:C59"/>
    <mergeCell ref="B34:B60"/>
    <mergeCell ref="C34:C39"/>
    <mergeCell ref="B3:B8"/>
    <mergeCell ref="C3:C8"/>
    <mergeCell ref="B10:B16"/>
    <mergeCell ref="C10:C12"/>
    <mergeCell ref="C13:C16"/>
    <mergeCell ref="B18:B19"/>
    <mergeCell ref="C40:C45"/>
    <mergeCell ref="C46:C50"/>
    <mergeCell ref="C51:C54"/>
    <mergeCell ref="B29:B32"/>
    <mergeCell ref="C29:C32"/>
    <mergeCell ref="B21:B23"/>
    <mergeCell ref="C21:C23"/>
  </mergeCells>
  <pageMargins left="1" right="1" top="1" bottom="1" header="0.5" footer="0.5"/>
  <pageSetup scale="46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5"/>
  <sheetViews>
    <sheetView zoomScale="93" zoomScaleNormal="93" workbookViewId="0">
      <selection activeCell="G7" sqref="G7"/>
    </sheetView>
  </sheetViews>
  <sheetFormatPr defaultColWidth="11.42578125" defaultRowHeight="15" x14ac:dyDescent="0.25"/>
  <cols>
    <col min="2" max="2" width="16.7109375" bestFit="1" customWidth="1"/>
    <col min="3" max="3" width="12.5703125" bestFit="1" customWidth="1"/>
    <col min="4" max="4" width="20.140625" bestFit="1" customWidth="1"/>
    <col min="5" max="5" width="12.85546875" bestFit="1" customWidth="1"/>
    <col min="6" max="6" width="13.5703125" bestFit="1" customWidth="1"/>
    <col min="7" max="7" width="22.140625" bestFit="1" customWidth="1"/>
    <col min="8" max="8" width="27.140625" bestFit="1" customWidth="1"/>
  </cols>
  <sheetData>
    <row r="1" spans="2:8" ht="15.75" customHeight="1" x14ac:dyDescent="0.25"/>
    <row r="2" spans="2:8" ht="18.75" x14ac:dyDescent="0.3">
      <c r="B2" s="14" t="s">
        <v>192</v>
      </c>
      <c r="C2" s="14" t="s">
        <v>247</v>
      </c>
      <c r="D2" s="15" t="s">
        <v>248</v>
      </c>
      <c r="E2" s="15" t="s">
        <v>193</v>
      </c>
      <c r="F2" s="68" t="s">
        <v>194</v>
      </c>
      <c r="G2" s="17" t="s">
        <v>250</v>
      </c>
      <c r="H2" s="18" t="s">
        <v>251</v>
      </c>
    </row>
    <row r="3" spans="2:8" ht="18" customHeight="1" x14ac:dyDescent="0.25">
      <c r="B3" s="140" t="s">
        <v>29</v>
      </c>
      <c r="C3" s="139" t="s">
        <v>4</v>
      </c>
      <c r="D3" s="5" t="s">
        <v>30</v>
      </c>
      <c r="E3" s="5" t="s">
        <v>3</v>
      </c>
      <c r="F3" s="6">
        <v>13500</v>
      </c>
      <c r="G3" s="2"/>
      <c r="H3" s="2"/>
    </row>
    <row r="4" spans="2:8" x14ac:dyDescent="0.25">
      <c r="B4" s="140"/>
      <c r="C4" s="139"/>
      <c r="D4" s="5" t="s">
        <v>31</v>
      </c>
      <c r="E4" s="5" t="s">
        <v>3</v>
      </c>
      <c r="F4" s="6">
        <v>13000</v>
      </c>
      <c r="G4" s="2"/>
      <c r="H4" s="2"/>
    </row>
    <row r="5" spans="2:8" x14ac:dyDescent="0.25">
      <c r="B5" s="140"/>
      <c r="C5" s="139"/>
      <c r="D5" s="5" t="s">
        <v>32</v>
      </c>
      <c r="E5" s="5" t="s">
        <v>3</v>
      </c>
      <c r="F5" s="6">
        <v>12400</v>
      </c>
      <c r="G5" s="2"/>
      <c r="H5" s="2"/>
    </row>
    <row r="6" spans="2:8" x14ac:dyDescent="0.25">
      <c r="B6" s="140"/>
      <c r="C6" s="139"/>
      <c r="D6" s="5" t="s">
        <v>32</v>
      </c>
      <c r="E6" s="5" t="s">
        <v>21</v>
      </c>
      <c r="F6" s="6">
        <v>20700</v>
      </c>
      <c r="G6" s="2"/>
      <c r="H6" s="2"/>
    </row>
    <row r="7" spans="2:8" x14ac:dyDescent="0.25">
      <c r="B7" s="140"/>
      <c r="C7" s="139"/>
      <c r="D7" s="5" t="s">
        <v>32</v>
      </c>
      <c r="E7" s="5" t="s">
        <v>11</v>
      </c>
      <c r="F7" s="6">
        <v>27700</v>
      </c>
      <c r="G7" s="2"/>
      <c r="H7" s="2"/>
    </row>
    <row r="8" spans="2:8" x14ac:dyDescent="0.25">
      <c r="B8" s="140"/>
      <c r="C8" s="139"/>
      <c r="D8" s="5" t="s">
        <v>33</v>
      </c>
      <c r="E8" s="5" t="s">
        <v>19</v>
      </c>
      <c r="F8" s="6">
        <v>14000</v>
      </c>
      <c r="G8" s="2"/>
      <c r="H8" s="2"/>
    </row>
    <row r="9" spans="2:8" x14ac:dyDescent="0.25">
      <c r="B9" s="140"/>
      <c r="C9" s="139"/>
      <c r="D9" s="5" t="s">
        <v>33</v>
      </c>
      <c r="E9" s="5" t="s">
        <v>34</v>
      </c>
      <c r="F9" s="6">
        <v>28700</v>
      </c>
      <c r="G9" s="2">
        <v>27500</v>
      </c>
      <c r="H9" s="2"/>
    </row>
    <row r="10" spans="2:8" ht="18.75" x14ac:dyDescent="0.25">
      <c r="B10" s="140"/>
      <c r="C10" s="4" t="s">
        <v>1</v>
      </c>
      <c r="D10" s="5" t="s">
        <v>35</v>
      </c>
      <c r="E10" s="5" t="s">
        <v>3</v>
      </c>
      <c r="F10" s="6">
        <v>14000</v>
      </c>
      <c r="G10" s="2"/>
      <c r="H10" s="2"/>
    </row>
    <row r="11" spans="2:8" x14ac:dyDescent="0.25">
      <c r="B11" s="1"/>
    </row>
    <row r="12" spans="2:8" ht="18.75" customHeight="1" x14ac:dyDescent="0.25">
      <c r="B12" s="3" t="s">
        <v>17</v>
      </c>
      <c r="C12" s="4" t="s">
        <v>1</v>
      </c>
      <c r="D12" s="7" t="s">
        <v>18</v>
      </c>
      <c r="E12" s="7" t="s">
        <v>19</v>
      </c>
      <c r="F12" s="6">
        <v>11500</v>
      </c>
      <c r="G12" s="2"/>
      <c r="H12" s="2"/>
    </row>
    <row r="14" spans="2:8" ht="18.75" x14ac:dyDescent="0.25">
      <c r="B14" s="140" t="s">
        <v>0</v>
      </c>
      <c r="C14" s="4" t="s">
        <v>1</v>
      </c>
      <c r="D14" s="2" t="s">
        <v>2</v>
      </c>
      <c r="E14" s="2" t="s">
        <v>3</v>
      </c>
      <c r="F14" s="8">
        <v>13000</v>
      </c>
      <c r="G14" s="2"/>
      <c r="H14" s="2"/>
    </row>
    <row r="15" spans="2:8" ht="18.75" x14ac:dyDescent="0.25">
      <c r="B15" s="140"/>
      <c r="C15" s="4" t="s">
        <v>4</v>
      </c>
      <c r="D15" s="2" t="s">
        <v>470</v>
      </c>
      <c r="E15" s="2" t="s">
        <v>3</v>
      </c>
      <c r="F15" s="8">
        <v>13000</v>
      </c>
      <c r="G15" s="2"/>
      <c r="H15" s="2"/>
    </row>
  </sheetData>
  <mergeCells count="3">
    <mergeCell ref="B14:B15"/>
    <mergeCell ref="B3:B10"/>
    <mergeCell ref="C3:C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30"/>
  <sheetViews>
    <sheetView zoomScale="95" zoomScaleNormal="95" workbookViewId="0">
      <selection activeCell="B3" sqref="B3:F14"/>
    </sheetView>
  </sheetViews>
  <sheetFormatPr defaultColWidth="9.140625" defaultRowHeight="15" x14ac:dyDescent="0.25"/>
  <cols>
    <col min="2" max="2" width="23.42578125" bestFit="1" customWidth="1"/>
    <col min="3" max="3" width="12.5703125" bestFit="1" customWidth="1"/>
    <col min="4" max="4" width="37.140625" bestFit="1" customWidth="1"/>
    <col min="5" max="5" width="12.85546875" bestFit="1" customWidth="1"/>
    <col min="6" max="6" width="13.5703125" bestFit="1" customWidth="1"/>
    <col min="7" max="7" width="22.140625" bestFit="1" customWidth="1"/>
    <col min="8" max="8" width="27.140625" bestFit="1" customWidth="1"/>
  </cols>
  <sheetData>
    <row r="2" spans="2:8" ht="18.75" x14ac:dyDescent="0.3">
      <c r="B2" s="14" t="s">
        <v>192</v>
      </c>
      <c r="C2" s="14" t="s">
        <v>247</v>
      </c>
      <c r="D2" s="15" t="s">
        <v>248</v>
      </c>
      <c r="E2" s="15" t="s">
        <v>193</v>
      </c>
      <c r="F2" s="68" t="s">
        <v>194</v>
      </c>
      <c r="G2" s="16" t="s">
        <v>597</v>
      </c>
      <c r="H2" s="15" t="s">
        <v>251</v>
      </c>
    </row>
    <row r="3" spans="2:8" ht="15" customHeight="1" x14ac:dyDescent="0.25">
      <c r="B3" s="145" t="s">
        <v>9</v>
      </c>
      <c r="C3" s="148"/>
      <c r="D3" s="5" t="s">
        <v>10</v>
      </c>
      <c r="E3" s="5" t="s">
        <v>11</v>
      </c>
      <c r="F3" s="6">
        <v>26500</v>
      </c>
      <c r="G3" s="2"/>
      <c r="H3" s="2"/>
    </row>
    <row r="4" spans="2:8" ht="15" customHeight="1" x14ac:dyDescent="0.25">
      <c r="B4" s="146"/>
      <c r="C4" s="149"/>
      <c r="D4" s="5" t="s">
        <v>12</v>
      </c>
      <c r="E4" s="5" t="s">
        <v>11</v>
      </c>
      <c r="F4" s="6">
        <v>27500</v>
      </c>
      <c r="G4" s="2">
        <v>26500</v>
      </c>
      <c r="H4" s="2"/>
    </row>
    <row r="6" spans="2:8" ht="26.25" x14ac:dyDescent="0.25">
      <c r="B6" s="19" t="s">
        <v>27</v>
      </c>
      <c r="C6" s="4" t="s">
        <v>28</v>
      </c>
      <c r="D6" s="5" t="s">
        <v>254</v>
      </c>
      <c r="E6" s="5" t="s">
        <v>11</v>
      </c>
      <c r="F6" s="6">
        <v>21000</v>
      </c>
      <c r="G6" s="2"/>
      <c r="H6" s="2"/>
    </row>
    <row r="8" spans="2:8" x14ac:dyDescent="0.25">
      <c r="B8" s="144" t="s">
        <v>65</v>
      </c>
      <c r="C8" s="147" t="s">
        <v>4</v>
      </c>
      <c r="D8" s="5" t="s">
        <v>66</v>
      </c>
      <c r="E8" s="5" t="s">
        <v>21</v>
      </c>
      <c r="F8" s="6">
        <v>26500</v>
      </c>
      <c r="G8" s="2"/>
      <c r="H8" s="2"/>
    </row>
    <row r="9" spans="2:8" x14ac:dyDescent="0.25">
      <c r="B9" s="145"/>
      <c r="C9" s="148"/>
      <c r="D9" s="5" t="s">
        <v>69</v>
      </c>
      <c r="E9" s="5" t="s">
        <v>21</v>
      </c>
      <c r="F9" s="6">
        <v>25500</v>
      </c>
      <c r="G9" s="2"/>
      <c r="H9" s="2"/>
    </row>
    <row r="10" spans="2:8" x14ac:dyDescent="0.25">
      <c r="B10" s="145"/>
      <c r="C10" s="148"/>
      <c r="D10" s="5" t="s">
        <v>70</v>
      </c>
      <c r="E10" s="5" t="s">
        <v>21</v>
      </c>
      <c r="F10" s="6">
        <v>26500</v>
      </c>
      <c r="G10" s="2"/>
      <c r="H10" s="2"/>
    </row>
    <row r="11" spans="2:8" x14ac:dyDescent="0.25">
      <c r="B11" s="145"/>
      <c r="C11" s="148"/>
      <c r="D11" s="5" t="s">
        <v>71</v>
      </c>
      <c r="E11" s="5" t="s">
        <v>21</v>
      </c>
      <c r="F11" s="6">
        <v>26500</v>
      </c>
      <c r="G11" s="2"/>
      <c r="H11" s="2"/>
    </row>
    <row r="12" spans="2:8" x14ac:dyDescent="0.25">
      <c r="B12" s="146"/>
      <c r="C12" s="149"/>
      <c r="D12" s="5" t="s">
        <v>71</v>
      </c>
      <c r="E12" s="5" t="s">
        <v>67</v>
      </c>
      <c r="F12" s="6">
        <v>28500</v>
      </c>
      <c r="G12" s="2" t="s">
        <v>68</v>
      </c>
      <c r="H12" s="2"/>
    </row>
    <row r="13" spans="2:8" x14ac:dyDescent="0.25">
      <c r="B13" s="140" t="s">
        <v>72</v>
      </c>
      <c r="C13" s="139" t="s">
        <v>1</v>
      </c>
      <c r="D13" s="5" t="s">
        <v>73</v>
      </c>
      <c r="E13" s="5" t="s">
        <v>8</v>
      </c>
      <c r="F13" s="6">
        <v>38000</v>
      </c>
      <c r="G13" s="2"/>
      <c r="H13" s="2"/>
    </row>
    <row r="14" spans="2:8" x14ac:dyDescent="0.25">
      <c r="B14" s="140"/>
      <c r="C14" s="139"/>
      <c r="D14" s="5" t="s">
        <v>74</v>
      </c>
      <c r="E14" s="5" t="s">
        <v>8</v>
      </c>
      <c r="F14" s="6">
        <v>38000</v>
      </c>
      <c r="G14" s="2"/>
      <c r="H14" s="2"/>
    </row>
    <row r="19" spans="4:6" x14ac:dyDescent="0.25">
      <c r="D19" s="5"/>
      <c r="E19" s="5"/>
      <c r="F19" s="6"/>
    </row>
    <row r="20" spans="4:6" x14ac:dyDescent="0.25">
      <c r="D20" s="5"/>
      <c r="E20" s="5"/>
      <c r="F20" s="6"/>
    </row>
    <row r="21" spans="4:6" x14ac:dyDescent="0.25">
      <c r="D21" s="5"/>
      <c r="E21" s="5"/>
      <c r="F21" s="6"/>
    </row>
    <row r="22" spans="4:6" x14ac:dyDescent="0.25">
      <c r="D22" s="5"/>
      <c r="E22" s="5"/>
      <c r="F22" s="6"/>
    </row>
    <row r="23" spans="4:6" x14ac:dyDescent="0.25">
      <c r="D23" s="5"/>
      <c r="E23" s="5"/>
      <c r="F23" s="6"/>
    </row>
    <row r="24" spans="4:6" x14ac:dyDescent="0.25">
      <c r="D24" s="5"/>
      <c r="E24" s="5"/>
      <c r="F24" s="6"/>
    </row>
    <row r="25" spans="4:6" x14ac:dyDescent="0.25">
      <c r="D25" s="5"/>
      <c r="E25" s="5"/>
      <c r="F25" s="6"/>
    </row>
    <row r="26" spans="4:6" x14ac:dyDescent="0.25">
      <c r="D26" s="5"/>
      <c r="E26" s="5"/>
      <c r="F26" s="6"/>
    </row>
    <row r="27" spans="4:6" x14ac:dyDescent="0.25">
      <c r="D27" s="5"/>
      <c r="E27" s="5"/>
      <c r="F27" s="6"/>
    </row>
    <row r="28" spans="4:6" x14ac:dyDescent="0.25">
      <c r="D28" s="7"/>
      <c r="E28" s="7"/>
      <c r="F28" s="6"/>
    </row>
    <row r="29" spans="4:6" x14ac:dyDescent="0.25">
      <c r="D29" s="5"/>
      <c r="E29" s="5"/>
      <c r="F29" s="6"/>
    </row>
    <row r="30" spans="4:6" x14ac:dyDescent="0.25">
      <c r="D30" s="7"/>
      <c r="E30" s="7"/>
      <c r="F30" s="6"/>
    </row>
  </sheetData>
  <mergeCells count="6">
    <mergeCell ref="B8:B12"/>
    <mergeCell ref="C8:C12"/>
    <mergeCell ref="B13:B14"/>
    <mergeCell ref="C13:C14"/>
    <mergeCell ref="B3:B4"/>
    <mergeCell ref="C3:C4"/>
  </mergeCells>
  <pageMargins left="0.7" right="0.7" top="0.75" bottom="0.75" header="0.3" footer="0.3"/>
  <pageSetup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H19"/>
  <sheetViews>
    <sheetView zoomScale="98" zoomScaleNormal="98" workbookViewId="0">
      <selection activeCell="G8" sqref="G8"/>
    </sheetView>
  </sheetViews>
  <sheetFormatPr defaultColWidth="9.140625" defaultRowHeight="15" x14ac:dyDescent="0.25"/>
  <cols>
    <col min="2" max="2" width="18.85546875" bestFit="1" customWidth="1"/>
    <col min="3" max="3" width="12.5703125" bestFit="1" customWidth="1"/>
    <col min="4" max="4" width="30.42578125" bestFit="1" customWidth="1"/>
    <col min="5" max="5" width="12.85546875" bestFit="1" customWidth="1"/>
    <col min="6" max="6" width="13.5703125" bestFit="1" customWidth="1"/>
    <col min="7" max="7" width="22.140625" bestFit="1" customWidth="1"/>
    <col min="8" max="8" width="27.140625" bestFit="1" customWidth="1"/>
  </cols>
  <sheetData>
    <row r="2" spans="2:8" ht="18.75" x14ac:dyDescent="0.3">
      <c r="B2" s="14" t="s">
        <v>192</v>
      </c>
      <c r="C2" s="14" t="s">
        <v>247</v>
      </c>
      <c r="D2" s="15" t="s">
        <v>248</v>
      </c>
      <c r="E2" s="15" t="s">
        <v>193</v>
      </c>
      <c r="F2" s="68" t="s">
        <v>194</v>
      </c>
      <c r="G2" s="17"/>
      <c r="H2" s="18"/>
    </row>
    <row r="3" spans="2:8" ht="26.25" x14ac:dyDescent="0.25">
      <c r="B3" s="3" t="s">
        <v>7</v>
      </c>
      <c r="C3" s="4" t="s">
        <v>1</v>
      </c>
      <c r="D3" s="7" t="s">
        <v>6</v>
      </c>
      <c r="E3" s="7" t="s">
        <v>8</v>
      </c>
      <c r="F3" s="6">
        <v>21500</v>
      </c>
      <c r="G3" s="2"/>
      <c r="H3" s="2"/>
    </row>
    <row r="5" spans="2:8" ht="26.25" x14ac:dyDescent="0.25">
      <c r="B5" s="3" t="s">
        <v>5</v>
      </c>
      <c r="C5" s="23" t="s">
        <v>1</v>
      </c>
      <c r="D5" s="7" t="s">
        <v>6</v>
      </c>
      <c r="E5" s="7" t="s">
        <v>3</v>
      </c>
      <c r="F5" s="6">
        <v>17000</v>
      </c>
      <c r="G5" s="2"/>
      <c r="H5" s="2"/>
    </row>
    <row r="6" spans="2:8" x14ac:dyDescent="0.25">
      <c r="B6" s="1"/>
      <c r="C6" s="1"/>
      <c r="D6" s="1"/>
      <c r="E6" s="1"/>
      <c r="F6" s="1"/>
    </row>
    <row r="7" spans="2:8" ht="26.25" x14ac:dyDescent="0.25">
      <c r="B7" s="3" t="s">
        <v>255</v>
      </c>
      <c r="C7" s="4" t="s">
        <v>4</v>
      </c>
      <c r="D7" s="7" t="s">
        <v>279</v>
      </c>
      <c r="E7" s="53" t="s">
        <v>3</v>
      </c>
      <c r="F7" s="6">
        <v>7900</v>
      </c>
      <c r="G7" s="10">
        <v>10000</v>
      </c>
      <c r="H7" s="10"/>
    </row>
    <row r="8" spans="2:8" ht="26.25" x14ac:dyDescent="0.25">
      <c r="B8" s="3" t="s">
        <v>255</v>
      </c>
      <c r="C8" s="4" t="s">
        <v>4</v>
      </c>
      <c r="D8" s="7" t="s">
        <v>279</v>
      </c>
      <c r="E8" s="7" t="s">
        <v>11</v>
      </c>
      <c r="F8" s="54">
        <v>18500</v>
      </c>
      <c r="G8" s="55"/>
      <c r="H8" s="55"/>
    </row>
    <row r="10" spans="2:8" ht="15" customHeight="1" x14ac:dyDescent="0.25">
      <c r="B10" s="144" t="s">
        <v>75</v>
      </c>
      <c r="C10" s="147" t="s">
        <v>4</v>
      </c>
      <c r="D10" s="5" t="s">
        <v>76</v>
      </c>
      <c r="E10" s="5" t="s">
        <v>41</v>
      </c>
      <c r="F10" s="6">
        <v>21000</v>
      </c>
      <c r="G10" s="2"/>
      <c r="H10" s="2"/>
    </row>
    <row r="11" spans="2:8" ht="15" customHeight="1" x14ac:dyDescent="0.25">
      <c r="B11" s="145"/>
      <c r="C11" s="148"/>
      <c r="D11" s="5" t="s">
        <v>77</v>
      </c>
      <c r="E11" s="5" t="s">
        <v>34</v>
      </c>
      <c r="F11" s="6">
        <v>28500</v>
      </c>
      <c r="G11" s="2"/>
      <c r="H11" s="2"/>
    </row>
    <row r="12" spans="2:8" ht="15" customHeight="1" x14ac:dyDescent="0.25">
      <c r="B12" s="145"/>
      <c r="C12" s="148"/>
      <c r="D12" s="5" t="s">
        <v>77</v>
      </c>
      <c r="E12" s="5" t="s">
        <v>584</v>
      </c>
      <c r="F12" s="6">
        <v>13700</v>
      </c>
      <c r="G12" s="10">
        <v>14500</v>
      </c>
      <c r="H12" s="2"/>
    </row>
    <row r="13" spans="2:8" ht="15" customHeight="1" x14ac:dyDescent="0.25">
      <c r="B13" s="145"/>
      <c r="C13" s="148"/>
      <c r="D13" s="5" t="s">
        <v>78</v>
      </c>
      <c r="E13" s="5" t="s">
        <v>8</v>
      </c>
      <c r="F13" s="6">
        <v>30000</v>
      </c>
      <c r="G13" s="2"/>
      <c r="H13" s="2"/>
    </row>
    <row r="14" spans="2:8" ht="15" customHeight="1" x14ac:dyDescent="0.25">
      <c r="B14" s="145"/>
      <c r="C14" s="148"/>
      <c r="D14" s="5" t="s">
        <v>79</v>
      </c>
      <c r="E14" s="5" t="s">
        <v>80</v>
      </c>
      <c r="F14" s="6">
        <v>34000</v>
      </c>
      <c r="G14" s="2"/>
      <c r="H14" s="2"/>
    </row>
    <row r="15" spans="2:8" ht="15" customHeight="1" x14ac:dyDescent="0.25">
      <c r="B15" s="146"/>
      <c r="C15" s="149"/>
      <c r="D15" s="5" t="s">
        <v>81</v>
      </c>
      <c r="E15" s="5" t="s">
        <v>3</v>
      </c>
      <c r="F15" s="6">
        <v>15000</v>
      </c>
      <c r="G15" s="2"/>
      <c r="H15" s="2"/>
    </row>
    <row r="16" spans="2:8" ht="26.25" x14ac:dyDescent="0.25">
      <c r="B16" s="32"/>
      <c r="C16" s="13"/>
      <c r="D16" s="1"/>
      <c r="E16" s="1"/>
      <c r="F16" s="12"/>
    </row>
    <row r="17" spans="2:8" ht="26.25" x14ac:dyDescent="0.25">
      <c r="B17" s="3" t="s">
        <v>358</v>
      </c>
      <c r="C17" s="4" t="s">
        <v>4</v>
      </c>
      <c r="D17" s="5" t="s">
        <v>359</v>
      </c>
      <c r="E17" s="5" t="s">
        <v>21</v>
      </c>
      <c r="F17" s="6">
        <v>30000</v>
      </c>
      <c r="G17" s="2"/>
      <c r="H17" s="2"/>
    </row>
    <row r="19" spans="2:8" ht="18.75" customHeight="1" x14ac:dyDescent="0.25">
      <c r="B19" s="3" t="s">
        <v>20</v>
      </c>
      <c r="C19" s="4" t="s">
        <v>4</v>
      </c>
      <c r="D19" s="7" t="s">
        <v>6</v>
      </c>
      <c r="E19" s="7" t="s">
        <v>8</v>
      </c>
      <c r="F19" s="6">
        <v>22000</v>
      </c>
      <c r="G19" s="2"/>
      <c r="H19" s="2"/>
    </row>
  </sheetData>
  <mergeCells count="2">
    <mergeCell ref="C10:C15"/>
    <mergeCell ref="B10:B15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2:H26"/>
  <sheetViews>
    <sheetView zoomScaleNormal="100" workbookViewId="0">
      <selection activeCell="G10" sqref="G10"/>
    </sheetView>
  </sheetViews>
  <sheetFormatPr defaultColWidth="9.140625" defaultRowHeight="15" x14ac:dyDescent="0.25"/>
  <cols>
    <col min="2" max="2" width="19.85546875" bestFit="1" customWidth="1"/>
    <col min="3" max="3" width="12.5703125" bestFit="1" customWidth="1"/>
    <col min="4" max="4" width="33.28515625" bestFit="1" customWidth="1"/>
    <col min="5" max="5" width="12.85546875" customWidth="1"/>
    <col min="6" max="6" width="11.85546875" bestFit="1" customWidth="1"/>
    <col min="7" max="7" width="14.85546875" bestFit="1" customWidth="1"/>
    <col min="8" max="8" width="13.42578125" bestFit="1" customWidth="1"/>
  </cols>
  <sheetData>
    <row r="2" spans="2:7" ht="18.75" x14ac:dyDescent="0.3">
      <c r="B2" s="14" t="s">
        <v>192</v>
      </c>
      <c r="C2" s="14" t="s">
        <v>247</v>
      </c>
      <c r="D2" s="39">
        <v>45952</v>
      </c>
      <c r="E2" s="15" t="s">
        <v>193</v>
      </c>
      <c r="F2" s="68" t="s">
        <v>194</v>
      </c>
      <c r="G2" s="79"/>
    </row>
    <row r="3" spans="2:7" ht="26.25" x14ac:dyDescent="0.25">
      <c r="B3" s="3" t="s">
        <v>13</v>
      </c>
      <c r="C3" s="4" t="s">
        <v>4</v>
      </c>
      <c r="D3" s="7" t="s">
        <v>14</v>
      </c>
      <c r="E3" s="7" t="s">
        <v>11</v>
      </c>
      <c r="F3" s="6">
        <v>21500</v>
      </c>
      <c r="G3" s="12"/>
    </row>
    <row r="5" spans="2:7" ht="15" customHeight="1" x14ac:dyDescent="0.25">
      <c r="B5" s="144" t="s">
        <v>49</v>
      </c>
      <c r="C5" s="147" t="s">
        <v>4</v>
      </c>
      <c r="D5" s="5" t="s">
        <v>50</v>
      </c>
      <c r="E5" s="5" t="s">
        <v>21</v>
      </c>
      <c r="F5" s="6">
        <v>23800</v>
      </c>
      <c r="G5" s="6" t="s">
        <v>601</v>
      </c>
    </row>
    <row r="6" spans="2:7" ht="15" customHeight="1" x14ac:dyDescent="0.25">
      <c r="B6" s="145"/>
      <c r="C6" s="148"/>
      <c r="D6" s="5" t="s">
        <v>51</v>
      </c>
      <c r="E6" s="5" t="s">
        <v>21</v>
      </c>
      <c r="F6" s="6">
        <v>23800</v>
      </c>
      <c r="G6" s="12"/>
    </row>
    <row r="7" spans="2:7" ht="15" customHeight="1" x14ac:dyDescent="0.25">
      <c r="B7" s="145"/>
      <c r="C7" s="148"/>
      <c r="D7" s="5" t="s">
        <v>452</v>
      </c>
      <c r="E7" s="5" t="s">
        <v>21</v>
      </c>
      <c r="F7" s="6">
        <v>23800</v>
      </c>
      <c r="G7" s="12"/>
    </row>
    <row r="8" spans="2:7" ht="15" customHeight="1" x14ac:dyDescent="0.25">
      <c r="B8" s="145"/>
      <c r="C8" s="149"/>
      <c r="D8" s="5" t="s">
        <v>52</v>
      </c>
      <c r="E8" s="5" t="s">
        <v>21</v>
      </c>
      <c r="F8" s="6">
        <v>23800</v>
      </c>
      <c r="G8" s="12"/>
    </row>
    <row r="9" spans="2:7" ht="15" customHeight="1" x14ac:dyDescent="0.25">
      <c r="B9" s="145"/>
      <c r="C9" s="147" t="s">
        <v>1</v>
      </c>
      <c r="D9" s="5" t="s">
        <v>53</v>
      </c>
      <c r="E9" s="5" t="s">
        <v>8</v>
      </c>
      <c r="F9" s="6">
        <v>35000</v>
      </c>
      <c r="G9" s="12"/>
    </row>
    <row r="10" spans="2:7" ht="15" customHeight="1" x14ac:dyDescent="0.25">
      <c r="B10" s="146"/>
      <c r="C10" s="149"/>
      <c r="D10" s="7" t="s">
        <v>54</v>
      </c>
      <c r="E10" s="7" t="s">
        <v>8</v>
      </c>
      <c r="F10" s="6">
        <v>35000</v>
      </c>
      <c r="G10" s="12"/>
    </row>
    <row r="12" spans="2:7" ht="15" customHeight="1" x14ac:dyDescent="0.25">
      <c r="B12" s="144" t="s">
        <v>22</v>
      </c>
      <c r="C12" s="147" t="s">
        <v>1</v>
      </c>
      <c r="D12" s="5" t="s">
        <v>23</v>
      </c>
      <c r="E12" s="5" t="s">
        <v>24</v>
      </c>
      <c r="F12" s="6">
        <v>13000</v>
      </c>
      <c r="G12" s="12"/>
    </row>
    <row r="13" spans="2:7" ht="15" customHeight="1" x14ac:dyDescent="0.25">
      <c r="B13" s="146"/>
      <c r="C13" s="149"/>
      <c r="D13" s="5" t="s">
        <v>23</v>
      </c>
      <c r="E13" s="5" t="s">
        <v>8</v>
      </c>
      <c r="F13" s="6">
        <v>26500</v>
      </c>
      <c r="G13" s="12"/>
    </row>
    <row r="14" spans="2:7" ht="26.25" x14ac:dyDescent="0.25">
      <c r="B14" s="3" t="s">
        <v>25</v>
      </c>
      <c r="C14" s="4" t="s">
        <v>4</v>
      </c>
      <c r="D14" s="7" t="s">
        <v>451</v>
      </c>
      <c r="E14" s="7" t="s">
        <v>11</v>
      </c>
      <c r="F14" s="6">
        <v>24500</v>
      </c>
      <c r="G14" s="12"/>
    </row>
    <row r="16" spans="2:7" ht="15" customHeight="1" x14ac:dyDescent="0.25">
      <c r="B16" s="144" t="s">
        <v>435</v>
      </c>
      <c r="C16" s="147" t="s">
        <v>4</v>
      </c>
      <c r="D16" s="117" t="s">
        <v>6</v>
      </c>
      <c r="E16" s="20" t="s">
        <v>19</v>
      </c>
      <c r="F16" s="115">
        <v>16500</v>
      </c>
      <c r="G16" s="46"/>
    </row>
    <row r="17" spans="2:8" ht="15" customHeight="1" x14ac:dyDescent="0.25">
      <c r="B17" s="145"/>
      <c r="C17" s="148"/>
      <c r="D17" s="5" t="s">
        <v>6</v>
      </c>
      <c r="E17" s="5" t="s">
        <v>21</v>
      </c>
      <c r="F17" s="10">
        <v>28000</v>
      </c>
      <c r="G17" s="46"/>
    </row>
    <row r="18" spans="2:8" ht="15" customHeight="1" x14ac:dyDescent="0.25">
      <c r="B18" s="145"/>
      <c r="C18" s="148"/>
      <c r="D18" s="5" t="s">
        <v>436</v>
      </c>
      <c r="E18" s="5" t="s">
        <v>19</v>
      </c>
      <c r="F18" s="10">
        <v>17000</v>
      </c>
      <c r="G18" s="46"/>
    </row>
    <row r="19" spans="2:8" ht="15" customHeight="1" x14ac:dyDescent="0.25">
      <c r="B19" s="145"/>
      <c r="C19" s="149"/>
      <c r="D19" s="5" t="s">
        <v>38</v>
      </c>
      <c r="E19" s="5" t="s">
        <v>19</v>
      </c>
      <c r="F19" s="10">
        <v>17000</v>
      </c>
      <c r="G19" s="46"/>
    </row>
    <row r="20" spans="2:8" ht="18.75" customHeight="1" x14ac:dyDescent="0.3">
      <c r="B20" s="146"/>
      <c r="C20" s="22" t="s">
        <v>1</v>
      </c>
      <c r="D20" s="5" t="s">
        <v>1</v>
      </c>
      <c r="E20" s="5" t="s">
        <v>19</v>
      </c>
      <c r="F20" s="10">
        <v>17600</v>
      </c>
      <c r="G20" s="46"/>
    </row>
    <row r="21" spans="2:8" x14ac:dyDescent="0.25">
      <c r="F21" s="9"/>
      <c r="G21" s="9"/>
    </row>
    <row r="22" spans="2:8" x14ac:dyDescent="0.25">
      <c r="B22" s="150" t="s">
        <v>49</v>
      </c>
      <c r="C22" s="150"/>
      <c r="D22" s="150"/>
      <c r="E22" s="151"/>
      <c r="F22" s="10" t="s">
        <v>578</v>
      </c>
      <c r="G22" s="46"/>
      <c r="H22" s="2" t="s">
        <v>498</v>
      </c>
    </row>
    <row r="23" spans="2:8" ht="15" customHeight="1" x14ac:dyDescent="0.25">
      <c r="B23" s="152" t="s">
        <v>479</v>
      </c>
      <c r="C23" s="2" t="s">
        <v>479</v>
      </c>
      <c r="D23" s="2" t="s">
        <v>481</v>
      </c>
      <c r="E23" s="80" t="s">
        <v>11</v>
      </c>
      <c r="F23" s="10">
        <v>15250</v>
      </c>
      <c r="G23" s="46"/>
      <c r="H23" s="10">
        <v>17500</v>
      </c>
    </row>
    <row r="24" spans="2:8" ht="15" customHeight="1" x14ac:dyDescent="0.25">
      <c r="B24" s="153"/>
      <c r="C24" s="2" t="s">
        <v>479</v>
      </c>
      <c r="D24" s="2" t="s">
        <v>482</v>
      </c>
      <c r="E24" s="80" t="s">
        <v>11</v>
      </c>
      <c r="F24" s="10">
        <v>15000</v>
      </c>
      <c r="G24" s="46"/>
      <c r="H24" s="10">
        <v>17000</v>
      </c>
    </row>
    <row r="25" spans="2:8" ht="15" customHeight="1" x14ac:dyDescent="0.25">
      <c r="B25" s="153"/>
      <c r="C25" s="2" t="s">
        <v>480</v>
      </c>
      <c r="D25" s="2" t="s">
        <v>483</v>
      </c>
      <c r="E25" s="80" t="s">
        <v>11</v>
      </c>
      <c r="F25" s="10">
        <v>17802</v>
      </c>
      <c r="G25" s="46"/>
      <c r="H25" s="10">
        <v>19800</v>
      </c>
    </row>
    <row r="26" spans="2:8" ht="15" customHeight="1" x14ac:dyDescent="0.25">
      <c r="B26" s="154"/>
      <c r="C26" s="2" t="s">
        <v>480</v>
      </c>
      <c r="D26" s="2" t="s">
        <v>484</v>
      </c>
      <c r="E26" s="80" t="s">
        <v>11</v>
      </c>
      <c r="F26" s="10">
        <v>17207</v>
      </c>
      <c r="G26" s="46"/>
      <c r="H26" s="10">
        <v>19500</v>
      </c>
    </row>
  </sheetData>
  <mergeCells count="9">
    <mergeCell ref="B22:E22"/>
    <mergeCell ref="B5:B10"/>
    <mergeCell ref="B16:B20"/>
    <mergeCell ref="B23:B26"/>
    <mergeCell ref="C5:C8"/>
    <mergeCell ref="C9:C10"/>
    <mergeCell ref="B12:B13"/>
    <mergeCell ref="C12:C13"/>
    <mergeCell ref="C16:C19"/>
  </mergeCells>
  <pageMargins left="1" right="1" top="1" bottom="1" header="0.5" footer="0.5"/>
  <pageSetup scale="65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M37"/>
  <sheetViews>
    <sheetView view="pageBreakPreview" zoomScale="85" zoomScaleNormal="100" zoomScaleSheetLayoutView="85" workbookViewId="0">
      <selection activeCell="B3" sqref="B3:F37"/>
    </sheetView>
  </sheetViews>
  <sheetFormatPr defaultColWidth="9.140625" defaultRowHeight="15" x14ac:dyDescent="0.25"/>
  <cols>
    <col min="2" max="2" width="27.28515625" bestFit="1" customWidth="1"/>
    <col min="3" max="3" width="12.5703125" bestFit="1" customWidth="1"/>
    <col min="4" max="4" width="30.140625" bestFit="1" customWidth="1"/>
    <col min="5" max="5" width="12.85546875" bestFit="1" customWidth="1"/>
    <col min="6" max="6" width="13.5703125" bestFit="1" customWidth="1"/>
    <col min="7" max="7" width="22.140625" bestFit="1" customWidth="1"/>
    <col min="8" max="8" width="27.140625" bestFit="1" customWidth="1"/>
    <col min="10" max="10" width="23.7109375" bestFit="1" customWidth="1"/>
    <col min="11" max="11" width="14.7109375" customWidth="1"/>
  </cols>
  <sheetData>
    <row r="2" spans="2:8" ht="18.75" x14ac:dyDescent="0.3">
      <c r="B2" s="14" t="s">
        <v>192</v>
      </c>
      <c r="C2" s="14" t="s">
        <v>247</v>
      </c>
      <c r="D2" s="15" t="s">
        <v>248</v>
      </c>
      <c r="E2" s="15" t="s">
        <v>193</v>
      </c>
      <c r="F2" s="68" t="s">
        <v>194</v>
      </c>
      <c r="G2" s="16" t="s">
        <v>490</v>
      </c>
      <c r="H2" s="15" t="s">
        <v>251</v>
      </c>
    </row>
    <row r="3" spans="2:8" x14ac:dyDescent="0.25">
      <c r="B3" s="140" t="s">
        <v>103</v>
      </c>
      <c r="C3" s="139" t="s">
        <v>28</v>
      </c>
      <c r="D3" s="7" t="s">
        <v>104</v>
      </c>
      <c r="E3" s="7" t="s">
        <v>105</v>
      </c>
      <c r="F3" s="8">
        <v>29000</v>
      </c>
      <c r="G3" s="2"/>
      <c r="H3" s="2"/>
    </row>
    <row r="4" spans="2:8" x14ac:dyDescent="0.25">
      <c r="B4" s="140"/>
      <c r="C4" s="139"/>
      <c r="D4" s="7" t="s">
        <v>38</v>
      </c>
      <c r="E4" s="7" t="s">
        <v>8</v>
      </c>
      <c r="F4" s="8">
        <v>31500</v>
      </c>
      <c r="G4" s="2"/>
      <c r="H4" s="2"/>
    </row>
    <row r="6" spans="2:8" x14ac:dyDescent="0.25">
      <c r="B6" s="140" t="s">
        <v>82</v>
      </c>
      <c r="C6" s="139" t="s">
        <v>4</v>
      </c>
      <c r="D6" s="5" t="s">
        <v>83</v>
      </c>
      <c r="E6" s="5" t="s">
        <v>489</v>
      </c>
      <c r="F6" s="6">
        <v>27000</v>
      </c>
      <c r="G6" s="2"/>
      <c r="H6" s="2"/>
    </row>
    <row r="7" spans="2:8" x14ac:dyDescent="0.25">
      <c r="B7" s="140"/>
      <c r="C7" s="140"/>
      <c r="D7" s="5" t="s">
        <v>83</v>
      </c>
      <c r="E7" s="5" t="s">
        <v>21</v>
      </c>
      <c r="F7" s="6">
        <v>23000</v>
      </c>
      <c r="G7" s="2"/>
      <c r="H7" s="2"/>
    </row>
    <row r="8" spans="2:8" x14ac:dyDescent="0.25">
      <c r="B8" s="140"/>
      <c r="C8" s="140"/>
      <c r="D8" s="5" t="s">
        <v>83</v>
      </c>
      <c r="E8" s="5" t="s">
        <v>84</v>
      </c>
      <c r="F8" s="6">
        <v>2900</v>
      </c>
      <c r="G8" s="2"/>
      <c r="H8" s="2"/>
    </row>
    <row r="9" spans="2:8" x14ac:dyDescent="0.25">
      <c r="B9" s="140"/>
      <c r="C9" s="140"/>
      <c r="D9" s="43" t="s">
        <v>85</v>
      </c>
      <c r="E9" s="43" t="s">
        <v>67</v>
      </c>
      <c r="F9" s="44">
        <v>32000</v>
      </c>
      <c r="G9" s="2"/>
      <c r="H9" s="2"/>
    </row>
    <row r="10" spans="2:8" x14ac:dyDescent="0.25">
      <c r="B10" s="140"/>
      <c r="C10" s="140"/>
      <c r="D10" s="5" t="s">
        <v>85</v>
      </c>
      <c r="E10" s="5" t="s">
        <v>41</v>
      </c>
      <c r="F10" s="6">
        <v>24500</v>
      </c>
      <c r="G10" s="2"/>
      <c r="H10" s="2"/>
    </row>
    <row r="11" spans="2:8" x14ac:dyDescent="0.25">
      <c r="B11" s="140"/>
      <c r="C11" s="140"/>
      <c r="D11" s="5" t="s">
        <v>85</v>
      </c>
      <c r="E11" s="5" t="s">
        <v>24</v>
      </c>
      <c r="F11" s="6">
        <v>13500</v>
      </c>
      <c r="G11" s="2">
        <v>15000</v>
      </c>
      <c r="H11" s="2"/>
    </row>
    <row r="12" spans="2:8" x14ac:dyDescent="0.25">
      <c r="B12" s="140"/>
      <c r="C12" s="140"/>
      <c r="D12" s="5" t="s">
        <v>85</v>
      </c>
      <c r="E12" s="5" t="s">
        <v>84</v>
      </c>
      <c r="F12" s="6">
        <v>2900</v>
      </c>
      <c r="G12" s="2"/>
      <c r="H12" s="2"/>
    </row>
    <row r="13" spans="2:8" x14ac:dyDescent="0.25">
      <c r="B13" s="140"/>
      <c r="C13" s="140"/>
      <c r="D13" s="5" t="s">
        <v>86</v>
      </c>
      <c r="E13" s="5" t="s">
        <v>41</v>
      </c>
      <c r="F13" s="6">
        <v>23500</v>
      </c>
      <c r="G13" s="2"/>
      <c r="H13" s="2"/>
    </row>
    <row r="14" spans="2:8" x14ac:dyDescent="0.25">
      <c r="B14" s="140"/>
      <c r="C14" s="140"/>
      <c r="D14" s="5" t="s">
        <v>86</v>
      </c>
      <c r="E14" s="5" t="s">
        <v>24</v>
      </c>
      <c r="F14" s="6">
        <v>13500</v>
      </c>
      <c r="G14" s="2"/>
      <c r="H14" s="2"/>
    </row>
    <row r="15" spans="2:8" x14ac:dyDescent="0.25">
      <c r="B15" s="140"/>
      <c r="C15" s="140"/>
      <c r="D15" s="5" t="s">
        <v>86</v>
      </c>
      <c r="E15" s="5" t="s">
        <v>84</v>
      </c>
      <c r="F15" s="6">
        <v>2900</v>
      </c>
      <c r="G15" s="2"/>
      <c r="H15" s="2"/>
    </row>
    <row r="16" spans="2:8" x14ac:dyDescent="0.25">
      <c r="B16" s="140"/>
      <c r="C16" s="139" t="s">
        <v>1</v>
      </c>
      <c r="D16" s="5" t="s">
        <v>87</v>
      </c>
      <c r="E16" s="5" t="s">
        <v>41</v>
      </c>
      <c r="F16" s="6">
        <v>32000</v>
      </c>
      <c r="G16" s="2"/>
      <c r="H16" s="2"/>
    </row>
    <row r="17" spans="2:13" x14ac:dyDescent="0.25">
      <c r="B17" s="140"/>
      <c r="C17" s="139"/>
      <c r="D17" s="5" t="s">
        <v>87</v>
      </c>
      <c r="E17" s="5" t="s">
        <v>24</v>
      </c>
      <c r="F17" s="6">
        <v>18500</v>
      </c>
      <c r="G17" s="2" t="s">
        <v>442</v>
      </c>
      <c r="H17" s="2"/>
    </row>
    <row r="18" spans="2:13" x14ac:dyDescent="0.25">
      <c r="B18" s="140"/>
      <c r="C18" s="139"/>
      <c r="D18" s="5" t="s">
        <v>87</v>
      </c>
      <c r="E18" s="5" t="s">
        <v>88</v>
      </c>
      <c r="F18" s="6">
        <v>2800</v>
      </c>
      <c r="G18" s="2"/>
      <c r="H18" s="2"/>
    </row>
    <row r="19" spans="2:13" x14ac:dyDescent="0.25">
      <c r="B19" s="140"/>
      <c r="C19" s="139"/>
      <c r="D19" s="5" t="s">
        <v>89</v>
      </c>
      <c r="E19" s="5" t="s">
        <v>24</v>
      </c>
      <c r="F19" s="6">
        <v>18500</v>
      </c>
      <c r="G19" s="2" t="s">
        <v>442</v>
      </c>
      <c r="H19" s="2"/>
    </row>
    <row r="20" spans="2:13" x14ac:dyDescent="0.25">
      <c r="B20" s="140"/>
      <c r="C20" s="139"/>
      <c r="D20" s="5" t="s">
        <v>89</v>
      </c>
      <c r="E20" s="5" t="s">
        <v>88</v>
      </c>
      <c r="F20" s="6">
        <v>2800</v>
      </c>
      <c r="G20" s="2"/>
      <c r="H20" s="2"/>
    </row>
    <row r="21" spans="2:13" x14ac:dyDescent="0.25">
      <c r="B21" s="140"/>
      <c r="C21" s="139"/>
      <c r="D21" s="5" t="s">
        <v>90</v>
      </c>
      <c r="E21" s="5" t="s">
        <v>24</v>
      </c>
      <c r="F21" s="6">
        <v>19500</v>
      </c>
      <c r="G21" s="2" t="s">
        <v>442</v>
      </c>
      <c r="H21" s="2"/>
      <c r="J21">
        <f>26000+26000</f>
        <v>52000</v>
      </c>
    </row>
    <row r="22" spans="2:13" x14ac:dyDescent="0.25">
      <c r="B22" s="140"/>
      <c r="C22" s="139"/>
      <c r="D22" s="5" t="s">
        <v>90</v>
      </c>
      <c r="E22" s="5" t="s">
        <v>88</v>
      </c>
      <c r="F22" s="6">
        <v>2900</v>
      </c>
      <c r="G22" s="2"/>
      <c r="H22" s="2"/>
    </row>
    <row r="23" spans="2:13" ht="15" customHeight="1" x14ac:dyDescent="0.25">
      <c r="B23" s="155" t="s">
        <v>155</v>
      </c>
      <c r="C23" s="147" t="s">
        <v>4</v>
      </c>
      <c r="D23" s="2" t="s">
        <v>156</v>
      </c>
      <c r="E23" s="2" t="s">
        <v>67</v>
      </c>
      <c r="F23" s="8">
        <v>33000</v>
      </c>
      <c r="G23" s="2"/>
      <c r="H23" s="2" t="s">
        <v>662</v>
      </c>
      <c r="J23" s="2" t="s">
        <v>156</v>
      </c>
      <c r="K23" s="2" t="s">
        <v>67</v>
      </c>
      <c r="L23" s="8">
        <v>33000</v>
      </c>
      <c r="M23" s="2" t="s">
        <v>585</v>
      </c>
    </row>
    <row r="24" spans="2:13" ht="15" customHeight="1" x14ac:dyDescent="0.25">
      <c r="B24" s="156"/>
      <c r="C24" s="148"/>
      <c r="D24" s="2" t="s">
        <v>83</v>
      </c>
      <c r="E24" s="2" t="s">
        <v>47</v>
      </c>
      <c r="F24" s="8">
        <v>6500</v>
      </c>
      <c r="G24" s="2"/>
      <c r="H24" s="2"/>
      <c r="J24" s="2" t="s">
        <v>157</v>
      </c>
      <c r="K24" s="2" t="s">
        <v>67</v>
      </c>
      <c r="L24" s="8">
        <v>35000</v>
      </c>
      <c r="M24" s="2" t="s">
        <v>585</v>
      </c>
    </row>
    <row r="25" spans="2:13" ht="15" customHeight="1" x14ac:dyDescent="0.25">
      <c r="B25" s="156"/>
      <c r="C25" s="148"/>
      <c r="D25" s="2" t="s">
        <v>157</v>
      </c>
      <c r="E25" s="2" t="s">
        <v>67</v>
      </c>
      <c r="F25" s="8">
        <v>35000</v>
      </c>
      <c r="G25" s="2"/>
      <c r="H25" s="2"/>
      <c r="J25" s="2"/>
      <c r="K25" s="2"/>
      <c r="L25" s="8"/>
      <c r="M25" s="2"/>
    </row>
    <row r="26" spans="2:13" ht="15" hidden="1" customHeight="1" x14ac:dyDescent="0.25">
      <c r="B26" s="156"/>
      <c r="C26" s="148"/>
      <c r="D26" s="2" t="s">
        <v>85</v>
      </c>
      <c r="E26" s="2" t="s">
        <v>41</v>
      </c>
      <c r="F26" s="8"/>
      <c r="G26" s="2"/>
      <c r="H26" s="2"/>
      <c r="J26" s="2"/>
      <c r="K26" s="2"/>
      <c r="L26" s="8"/>
      <c r="M26" s="2"/>
    </row>
    <row r="27" spans="2:13" ht="15" customHeight="1" x14ac:dyDescent="0.25">
      <c r="B27" s="156"/>
      <c r="C27" s="148"/>
      <c r="D27" s="2" t="s">
        <v>85</v>
      </c>
      <c r="E27" s="2" t="s">
        <v>47</v>
      </c>
      <c r="F27" s="8">
        <v>7400</v>
      </c>
      <c r="G27" s="2"/>
      <c r="H27" s="2"/>
      <c r="J27" s="2"/>
      <c r="K27" s="2"/>
      <c r="L27" s="8"/>
      <c r="M27" s="2"/>
    </row>
    <row r="28" spans="2:13" ht="15" hidden="1" customHeight="1" x14ac:dyDescent="0.25">
      <c r="B28" s="157"/>
      <c r="C28" s="149"/>
      <c r="D28" s="2" t="s">
        <v>86</v>
      </c>
      <c r="E28" s="2" t="s">
        <v>41</v>
      </c>
      <c r="F28" s="8"/>
      <c r="G28" s="2"/>
      <c r="H28" s="2"/>
    </row>
    <row r="30" spans="2:13" ht="26.25" x14ac:dyDescent="0.25">
      <c r="B30" s="3" t="s">
        <v>91</v>
      </c>
      <c r="C30" s="4" t="s">
        <v>4</v>
      </c>
      <c r="D30" s="5" t="s">
        <v>14</v>
      </c>
      <c r="E30" s="5" t="s">
        <v>92</v>
      </c>
      <c r="F30" s="6">
        <v>25500</v>
      </c>
      <c r="G30" s="2"/>
      <c r="H30" s="2"/>
    </row>
    <row r="32" spans="2:13" x14ac:dyDescent="0.25">
      <c r="B32" s="140" t="s">
        <v>111</v>
      </c>
      <c r="C32" s="147" t="s">
        <v>4</v>
      </c>
      <c r="D32" s="5" t="s">
        <v>104</v>
      </c>
      <c r="E32" s="5" t="s">
        <v>8</v>
      </c>
      <c r="G32" s="2"/>
      <c r="H32" s="2"/>
    </row>
    <row r="33" spans="2:8" x14ac:dyDescent="0.25">
      <c r="B33" s="140"/>
      <c r="C33" s="148"/>
      <c r="D33" s="5" t="s">
        <v>486</v>
      </c>
      <c r="E33" s="5" t="s">
        <v>11</v>
      </c>
      <c r="F33" s="6">
        <v>21000</v>
      </c>
      <c r="G33" s="2" t="s">
        <v>641</v>
      </c>
      <c r="H33" s="2" t="s">
        <v>642</v>
      </c>
    </row>
    <row r="34" spans="2:8" x14ac:dyDescent="0.25">
      <c r="B34" s="140"/>
      <c r="C34" s="149"/>
      <c r="D34" s="5" t="s">
        <v>38</v>
      </c>
      <c r="E34" s="5" t="s">
        <v>3</v>
      </c>
      <c r="F34" s="6">
        <v>14000</v>
      </c>
      <c r="G34" s="2"/>
      <c r="H34" s="2"/>
    </row>
    <row r="35" spans="2:8" x14ac:dyDescent="0.25">
      <c r="B35" s="140"/>
      <c r="C35" s="139" t="s">
        <v>1</v>
      </c>
      <c r="D35" s="5" t="s">
        <v>1</v>
      </c>
      <c r="E35" s="5" t="s">
        <v>8</v>
      </c>
      <c r="F35" s="6">
        <v>26000</v>
      </c>
      <c r="G35" s="2"/>
      <c r="H35" s="2"/>
    </row>
    <row r="36" spans="2:8" x14ac:dyDescent="0.25">
      <c r="B36" s="140"/>
      <c r="C36" s="139"/>
      <c r="D36" s="5" t="s">
        <v>1</v>
      </c>
      <c r="E36" s="5" t="s">
        <v>3</v>
      </c>
      <c r="F36" s="6">
        <v>14500</v>
      </c>
      <c r="G36" s="2"/>
      <c r="H36" s="2"/>
    </row>
    <row r="37" spans="2:8" x14ac:dyDescent="0.25">
      <c r="B37" s="140"/>
      <c r="C37" s="139"/>
      <c r="D37" s="5" t="s">
        <v>110</v>
      </c>
      <c r="E37" s="5" t="s">
        <v>41</v>
      </c>
      <c r="F37" s="6">
        <v>25000</v>
      </c>
      <c r="G37" s="2"/>
      <c r="H37" s="2"/>
    </row>
  </sheetData>
  <mergeCells count="10">
    <mergeCell ref="B32:B37"/>
    <mergeCell ref="C32:C34"/>
    <mergeCell ref="C35:C37"/>
    <mergeCell ref="B3:B4"/>
    <mergeCell ref="C3:C4"/>
    <mergeCell ref="B6:B22"/>
    <mergeCell ref="C6:C15"/>
    <mergeCell ref="C16:C22"/>
    <mergeCell ref="B23:B28"/>
    <mergeCell ref="C23:C28"/>
  </mergeCells>
  <pageMargins left="0.7" right="0.7" top="0.75" bottom="0.75" header="0.3" footer="0.3"/>
  <pageSetup paperSize="9"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I13"/>
  <sheetViews>
    <sheetView workbookViewId="0">
      <selection activeCell="F16" sqref="F16"/>
    </sheetView>
  </sheetViews>
  <sheetFormatPr defaultColWidth="9.140625" defaultRowHeight="15" x14ac:dyDescent="0.25"/>
  <cols>
    <col min="2" max="2" width="13.42578125" bestFit="1" customWidth="1"/>
    <col min="3" max="3" width="12.5703125" bestFit="1" customWidth="1"/>
    <col min="4" max="4" width="30" bestFit="1" customWidth="1"/>
    <col min="5" max="5" width="12.85546875" bestFit="1" customWidth="1"/>
    <col min="6" max="6" width="13.5703125" bestFit="1" customWidth="1"/>
    <col min="7" max="7" width="13.5703125" customWidth="1"/>
    <col min="8" max="8" width="22.140625" bestFit="1" customWidth="1"/>
    <col min="9" max="9" width="27.140625" bestFit="1" customWidth="1"/>
  </cols>
  <sheetData>
    <row r="2" spans="2:9" ht="18.75" hidden="1" x14ac:dyDescent="0.3">
      <c r="B2" s="14" t="s">
        <v>192</v>
      </c>
      <c r="C2" s="14" t="s">
        <v>247</v>
      </c>
      <c r="D2" s="15" t="s">
        <v>248</v>
      </c>
      <c r="E2" s="15" t="s">
        <v>193</v>
      </c>
      <c r="F2" s="68" t="s">
        <v>194</v>
      </c>
      <c r="G2" s="82"/>
      <c r="H2" s="16" t="s">
        <v>250</v>
      </c>
      <c r="I2" s="15" t="s">
        <v>251</v>
      </c>
    </row>
    <row r="3" spans="2:9" ht="15" hidden="1" customHeight="1" x14ac:dyDescent="0.25">
      <c r="B3" s="144" t="s">
        <v>98</v>
      </c>
      <c r="C3" s="147" t="s">
        <v>4</v>
      </c>
      <c r="D3" s="5" t="s">
        <v>99</v>
      </c>
      <c r="E3" s="2" t="s">
        <v>8</v>
      </c>
      <c r="F3" s="8">
        <v>32500</v>
      </c>
      <c r="G3" s="37"/>
      <c r="H3" s="2"/>
      <c r="I3" s="2"/>
    </row>
    <row r="4" spans="2:9" ht="15" hidden="1" customHeight="1" x14ac:dyDescent="0.25">
      <c r="B4" s="145"/>
      <c r="C4" s="148"/>
      <c r="D4" s="5" t="s">
        <v>100</v>
      </c>
      <c r="E4" s="2" t="s">
        <v>3</v>
      </c>
      <c r="F4" s="8">
        <v>19500</v>
      </c>
      <c r="G4" s="37"/>
      <c r="H4" s="2"/>
      <c r="I4" s="2"/>
    </row>
    <row r="5" spans="2:9" ht="15" hidden="1" customHeight="1" x14ac:dyDescent="0.25">
      <c r="B5" s="145"/>
      <c r="C5" s="149"/>
      <c r="D5" s="5" t="s">
        <v>101</v>
      </c>
      <c r="E5" s="2" t="s">
        <v>3</v>
      </c>
      <c r="F5" s="8">
        <v>19000</v>
      </c>
      <c r="G5" s="37"/>
      <c r="H5" s="2"/>
      <c r="I5" s="2"/>
    </row>
    <row r="6" spans="2:9" ht="18.75" hidden="1" customHeight="1" x14ac:dyDescent="0.3">
      <c r="B6" s="146"/>
      <c r="C6" s="22" t="s">
        <v>1</v>
      </c>
      <c r="D6" s="5" t="s">
        <v>102</v>
      </c>
      <c r="E6" s="2" t="s">
        <v>3</v>
      </c>
      <c r="F6" s="8">
        <v>24500</v>
      </c>
      <c r="G6" s="96" t="s">
        <v>602</v>
      </c>
      <c r="H6" s="2" t="s">
        <v>478</v>
      </c>
      <c r="I6" s="2"/>
    </row>
    <row r="9" spans="2:9" ht="18.75" x14ac:dyDescent="0.3">
      <c r="B9" s="14" t="s">
        <v>192</v>
      </c>
      <c r="C9" s="14" t="s">
        <v>247</v>
      </c>
      <c r="D9" s="15" t="s">
        <v>248</v>
      </c>
      <c r="E9" s="15" t="s">
        <v>193</v>
      </c>
      <c r="F9" s="68" t="s">
        <v>194</v>
      </c>
      <c r="G9" s="25"/>
    </row>
    <row r="10" spans="2:9" x14ac:dyDescent="0.25">
      <c r="B10" s="140" t="s">
        <v>98</v>
      </c>
      <c r="C10" s="139" t="s">
        <v>4</v>
      </c>
      <c r="D10" s="5" t="s">
        <v>99</v>
      </c>
      <c r="E10" s="2" t="s">
        <v>8</v>
      </c>
      <c r="F10" s="8">
        <v>33000</v>
      </c>
      <c r="G10" s="2" t="s">
        <v>618</v>
      </c>
    </row>
    <row r="11" spans="2:9" x14ac:dyDescent="0.25">
      <c r="B11" s="140"/>
      <c r="C11" s="139"/>
      <c r="D11" s="5" t="s">
        <v>100</v>
      </c>
      <c r="E11" s="2" t="s">
        <v>3</v>
      </c>
      <c r="F11" s="8">
        <v>20000</v>
      </c>
      <c r="G11" s="2"/>
    </row>
    <row r="12" spans="2:9" x14ac:dyDescent="0.25">
      <c r="B12" s="140"/>
      <c r="C12" s="139"/>
      <c r="D12" s="5" t="s">
        <v>101</v>
      </c>
      <c r="E12" s="2" t="s">
        <v>3</v>
      </c>
      <c r="F12" s="8">
        <v>19500</v>
      </c>
      <c r="G12" s="2"/>
    </row>
    <row r="13" spans="2:9" ht="18.75" x14ac:dyDescent="0.3">
      <c r="B13" s="140"/>
      <c r="C13" s="22" t="s">
        <v>1</v>
      </c>
      <c r="D13" s="5" t="s">
        <v>102</v>
      </c>
      <c r="E13" s="2" t="s">
        <v>3</v>
      </c>
      <c r="F13" s="8">
        <v>24500</v>
      </c>
      <c r="G13" s="2"/>
    </row>
  </sheetData>
  <mergeCells count="4">
    <mergeCell ref="B10:B13"/>
    <mergeCell ref="C10:C12"/>
    <mergeCell ref="B3:B6"/>
    <mergeCell ref="C3: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  <pageSetUpPr fitToPage="1"/>
  </sheetPr>
  <dimension ref="B2:I18"/>
  <sheetViews>
    <sheetView view="pageBreakPreview" zoomScaleNormal="115" zoomScaleSheetLayoutView="100" workbookViewId="0">
      <selection activeCell="B12" sqref="B12:F12"/>
    </sheetView>
  </sheetViews>
  <sheetFormatPr defaultColWidth="9.140625" defaultRowHeight="15" x14ac:dyDescent="0.25"/>
  <cols>
    <col min="2" max="2" width="16.5703125" bestFit="1" customWidth="1"/>
    <col min="3" max="3" width="12.5703125" bestFit="1" customWidth="1"/>
    <col min="4" max="4" width="31.5703125" bestFit="1" customWidth="1"/>
    <col min="5" max="5" width="12.85546875" bestFit="1" customWidth="1"/>
    <col min="6" max="6" width="9.5703125" bestFit="1" customWidth="1"/>
    <col min="7" max="7" width="13.7109375" bestFit="1" customWidth="1"/>
    <col min="8" max="8" width="30.140625" bestFit="1" customWidth="1"/>
    <col min="9" max="9" width="17.42578125" bestFit="1" customWidth="1"/>
  </cols>
  <sheetData>
    <row r="2" spans="2:9" ht="18.75" x14ac:dyDescent="0.3">
      <c r="B2" s="14" t="s">
        <v>192</v>
      </c>
      <c r="C2" s="14" t="s">
        <v>247</v>
      </c>
      <c r="D2" s="15" t="s">
        <v>248</v>
      </c>
      <c r="E2" s="15" t="s">
        <v>193</v>
      </c>
      <c r="F2" s="68" t="s">
        <v>194</v>
      </c>
      <c r="G2" s="68" t="s">
        <v>589</v>
      </c>
      <c r="H2" s="81" t="s">
        <v>505</v>
      </c>
      <c r="I2" s="15" t="s">
        <v>498</v>
      </c>
    </row>
    <row r="3" spans="2:9" ht="14.45" customHeight="1" x14ac:dyDescent="0.25">
      <c r="B3" s="140" t="s">
        <v>62</v>
      </c>
      <c r="C3" s="139" t="s">
        <v>1</v>
      </c>
      <c r="D3" s="5" t="s">
        <v>63</v>
      </c>
      <c r="E3" s="5" t="s">
        <v>3</v>
      </c>
      <c r="F3" s="6">
        <v>12800</v>
      </c>
      <c r="G3" s="6">
        <v>14000</v>
      </c>
      <c r="H3" s="83"/>
      <c r="I3" s="8"/>
    </row>
    <row r="4" spans="2:9" x14ac:dyDescent="0.25">
      <c r="B4" s="142"/>
      <c r="C4" s="142"/>
      <c r="D4" s="5" t="s">
        <v>63</v>
      </c>
      <c r="E4" s="5" t="s">
        <v>11</v>
      </c>
      <c r="F4" s="6">
        <v>29000</v>
      </c>
      <c r="G4" s="6">
        <v>30000</v>
      </c>
      <c r="H4" s="83"/>
      <c r="I4" s="8"/>
    </row>
    <row r="5" spans="2:9" ht="18.75" x14ac:dyDescent="0.25">
      <c r="B5" s="142"/>
      <c r="C5" s="4" t="s">
        <v>4</v>
      </c>
      <c r="D5" s="5" t="s">
        <v>64</v>
      </c>
      <c r="E5" s="5" t="s">
        <v>11</v>
      </c>
      <c r="F5" s="6">
        <v>24000</v>
      </c>
      <c r="G5" s="8">
        <v>27500</v>
      </c>
      <c r="H5" s="83"/>
      <c r="I5" s="8">
        <v>27500</v>
      </c>
    </row>
    <row r="6" spans="2:9" x14ac:dyDescent="0.25">
      <c r="B6" s="1"/>
      <c r="C6" s="1"/>
      <c r="D6" s="1"/>
      <c r="E6" s="1"/>
      <c r="F6" s="1"/>
      <c r="G6" s="1"/>
      <c r="H6" s="9"/>
      <c r="I6" s="9"/>
    </row>
    <row r="7" spans="2:9" ht="15" customHeight="1" x14ac:dyDescent="0.25">
      <c r="B7" s="144" t="s">
        <v>93</v>
      </c>
      <c r="C7" s="147" t="s">
        <v>4</v>
      </c>
      <c r="D7" s="5" t="s">
        <v>94</v>
      </c>
      <c r="E7" s="2" t="s">
        <v>8</v>
      </c>
      <c r="F7" s="8">
        <v>30500</v>
      </c>
      <c r="G7" s="8">
        <v>32000</v>
      </c>
      <c r="H7" s="83">
        <v>31500</v>
      </c>
      <c r="I7" s="8">
        <v>32000</v>
      </c>
    </row>
    <row r="8" spans="2:9" ht="15" customHeight="1" x14ac:dyDescent="0.25">
      <c r="B8" s="145"/>
      <c r="C8" s="148"/>
      <c r="D8" s="5" t="s">
        <v>95</v>
      </c>
      <c r="E8" s="2" t="s">
        <v>3</v>
      </c>
      <c r="F8" s="8">
        <v>20000</v>
      </c>
      <c r="G8" s="8">
        <v>23000</v>
      </c>
      <c r="H8" s="83">
        <v>21000</v>
      </c>
      <c r="I8" s="8">
        <v>23000</v>
      </c>
    </row>
    <row r="9" spans="2:9" ht="15" customHeight="1" x14ac:dyDescent="0.25">
      <c r="B9" s="145"/>
      <c r="C9" s="149"/>
      <c r="D9" s="5" t="s">
        <v>96</v>
      </c>
      <c r="E9" s="2" t="s">
        <v>3</v>
      </c>
      <c r="F9" s="8">
        <v>19000</v>
      </c>
      <c r="G9" s="8">
        <v>23000</v>
      </c>
      <c r="H9" s="83">
        <v>20000</v>
      </c>
      <c r="I9" s="8">
        <v>23000</v>
      </c>
    </row>
    <row r="10" spans="2:9" ht="18.75" customHeight="1" x14ac:dyDescent="0.3">
      <c r="B10" s="146"/>
      <c r="C10" s="22" t="s">
        <v>1</v>
      </c>
      <c r="D10" s="5" t="s">
        <v>97</v>
      </c>
      <c r="E10" s="2" t="s">
        <v>3</v>
      </c>
      <c r="F10" s="8">
        <v>22800</v>
      </c>
      <c r="G10" s="8">
        <v>25000</v>
      </c>
      <c r="H10" s="83">
        <v>22800</v>
      </c>
      <c r="I10" s="8">
        <v>25000</v>
      </c>
    </row>
    <row r="11" spans="2:9" x14ac:dyDescent="0.25">
      <c r="H11" s="9"/>
      <c r="I11" s="9"/>
    </row>
    <row r="12" spans="2:9" ht="26.25" x14ac:dyDescent="0.25">
      <c r="B12" s="3" t="s">
        <v>26</v>
      </c>
      <c r="C12" s="4" t="s">
        <v>4</v>
      </c>
      <c r="D12" s="5" t="s">
        <v>26</v>
      </c>
      <c r="E12" s="5" t="s">
        <v>11</v>
      </c>
      <c r="F12" s="6">
        <v>21000</v>
      </c>
      <c r="G12" s="6"/>
      <c r="H12" s="8"/>
      <c r="I12" s="8"/>
    </row>
    <row r="16" spans="2:9" x14ac:dyDescent="0.25">
      <c r="D16" s="1"/>
      <c r="F16" s="37"/>
      <c r="G16" s="37"/>
    </row>
    <row r="17" spans="4:7" x14ac:dyDescent="0.25">
      <c r="D17" s="1"/>
      <c r="E17" t="s">
        <v>485</v>
      </c>
      <c r="F17" s="37"/>
      <c r="G17" s="37"/>
    </row>
    <row r="18" spans="4:7" x14ac:dyDescent="0.25">
      <c r="D18" s="1"/>
      <c r="E18" s="1"/>
      <c r="F18" s="12"/>
      <c r="G18" s="12"/>
    </row>
  </sheetData>
  <mergeCells count="4">
    <mergeCell ref="B3:B5"/>
    <mergeCell ref="C3:C4"/>
    <mergeCell ref="B7:B10"/>
    <mergeCell ref="C7:C9"/>
  </mergeCells>
  <pageMargins left="1" right="1" top="1" bottom="1" header="0.5" footer="0.5"/>
  <pageSetup scale="53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  <pageSetUpPr fitToPage="1"/>
  </sheetPr>
  <dimension ref="A2:L54"/>
  <sheetViews>
    <sheetView topLeftCell="A3" zoomScale="85" zoomScaleNormal="85" workbookViewId="0">
      <selection activeCell="J49" sqref="J49"/>
    </sheetView>
  </sheetViews>
  <sheetFormatPr defaultColWidth="11.42578125" defaultRowHeight="15" x14ac:dyDescent="0.25"/>
  <cols>
    <col min="2" max="2" width="15.140625" bestFit="1" customWidth="1"/>
    <col min="3" max="3" width="12.5703125" bestFit="1" customWidth="1"/>
    <col min="4" max="4" width="58.28515625" bestFit="1" customWidth="1"/>
    <col min="5" max="5" width="12.85546875" customWidth="1"/>
    <col min="6" max="6" width="13.28515625" hidden="1" customWidth="1"/>
    <col min="7" max="8" width="15.42578125" customWidth="1"/>
    <col min="9" max="9" width="18.5703125" bestFit="1" customWidth="1"/>
    <col min="10" max="10" width="18.5703125" customWidth="1"/>
  </cols>
  <sheetData>
    <row r="2" spans="2:11" ht="18.75" x14ac:dyDescent="0.3">
      <c r="H2" s="49"/>
      <c r="J2" s="49" t="s">
        <v>502</v>
      </c>
      <c r="K2" s="49" t="s">
        <v>502</v>
      </c>
    </row>
    <row r="3" spans="2:11" ht="18.75" x14ac:dyDescent="0.3">
      <c r="B3" s="14" t="s">
        <v>192</v>
      </c>
      <c r="C3" s="14" t="s">
        <v>247</v>
      </c>
      <c r="D3" s="15" t="s">
        <v>248</v>
      </c>
      <c r="E3" s="15" t="s">
        <v>193</v>
      </c>
      <c r="F3" s="15" t="s">
        <v>499</v>
      </c>
      <c r="G3" s="68" t="s">
        <v>194</v>
      </c>
      <c r="H3" s="68"/>
      <c r="I3" s="50" t="s">
        <v>500</v>
      </c>
      <c r="J3" s="68" t="s">
        <v>194</v>
      </c>
      <c r="K3" s="49" t="s">
        <v>503</v>
      </c>
    </row>
    <row r="4" spans="2:11" ht="15" customHeight="1" x14ac:dyDescent="0.25">
      <c r="B4" s="144" t="s">
        <v>112</v>
      </c>
      <c r="C4" s="147" t="s">
        <v>4</v>
      </c>
      <c r="D4" s="2" t="s">
        <v>113</v>
      </c>
      <c r="E4" s="2" t="s">
        <v>21</v>
      </c>
      <c r="F4" s="10">
        <v>37083</v>
      </c>
      <c r="G4" s="10">
        <v>39000</v>
      </c>
      <c r="H4" s="115"/>
      <c r="I4" s="10">
        <v>42000</v>
      </c>
      <c r="J4" s="115">
        <v>33000</v>
      </c>
      <c r="K4" s="10">
        <v>37000</v>
      </c>
    </row>
    <row r="5" spans="2:11" ht="15" customHeight="1" x14ac:dyDescent="0.25">
      <c r="B5" s="145"/>
      <c r="C5" s="148"/>
      <c r="D5" s="2" t="s">
        <v>114</v>
      </c>
      <c r="E5" s="2" t="s">
        <v>21</v>
      </c>
      <c r="F5" s="10">
        <v>34828</v>
      </c>
      <c r="G5" s="10">
        <v>36000</v>
      </c>
      <c r="H5" s="115"/>
      <c r="I5" s="10">
        <v>40000</v>
      </c>
      <c r="J5" s="115">
        <v>30000</v>
      </c>
      <c r="K5" s="10">
        <v>35000</v>
      </c>
    </row>
    <row r="6" spans="2:11" ht="15" customHeight="1" x14ac:dyDescent="0.25">
      <c r="B6" s="146"/>
      <c r="C6" s="149"/>
      <c r="D6" s="2" t="s">
        <v>115</v>
      </c>
      <c r="E6" s="2" t="s">
        <v>21</v>
      </c>
      <c r="F6" s="10">
        <v>33701</v>
      </c>
      <c r="G6" s="10">
        <v>37000</v>
      </c>
      <c r="H6" s="115"/>
      <c r="I6" s="10">
        <v>40000</v>
      </c>
      <c r="J6" s="115">
        <v>32000</v>
      </c>
      <c r="K6" s="10">
        <v>35000</v>
      </c>
    </row>
    <row r="7" spans="2:11" x14ac:dyDescent="0.25">
      <c r="I7" s="9"/>
      <c r="K7" s="9"/>
    </row>
    <row r="8" spans="2:11" ht="15" customHeight="1" x14ac:dyDescent="0.25">
      <c r="B8" s="158" t="s">
        <v>195</v>
      </c>
      <c r="C8" s="147" t="s">
        <v>1</v>
      </c>
      <c r="D8" s="2" t="s">
        <v>196</v>
      </c>
      <c r="E8" s="2" t="s">
        <v>125</v>
      </c>
      <c r="F8" s="10">
        <v>15829</v>
      </c>
      <c r="G8" s="10">
        <v>17000</v>
      </c>
      <c r="H8" s="10"/>
      <c r="I8" s="10">
        <v>18000</v>
      </c>
      <c r="J8" s="10"/>
      <c r="K8" s="10"/>
    </row>
    <row r="9" spans="2:11" ht="15" customHeight="1" x14ac:dyDescent="0.25">
      <c r="B9" s="159"/>
      <c r="C9" s="148"/>
      <c r="D9" s="2" t="s">
        <v>197</v>
      </c>
      <c r="E9" s="2" t="s">
        <v>125</v>
      </c>
      <c r="F9" s="10">
        <v>13646</v>
      </c>
      <c r="G9" s="10">
        <v>15000</v>
      </c>
      <c r="H9" s="10"/>
      <c r="I9" s="10">
        <v>17000</v>
      </c>
      <c r="J9" s="10"/>
      <c r="K9" s="10"/>
    </row>
    <row r="10" spans="2:11" ht="15" customHeight="1" x14ac:dyDescent="0.25">
      <c r="B10" s="159"/>
      <c r="C10" s="148"/>
      <c r="D10" s="2" t="s">
        <v>197</v>
      </c>
      <c r="E10" s="2" t="s">
        <v>3</v>
      </c>
      <c r="F10" s="10">
        <v>51920</v>
      </c>
      <c r="G10" s="10">
        <v>55000</v>
      </c>
      <c r="H10" s="10"/>
      <c r="I10" s="10">
        <v>58000</v>
      </c>
      <c r="J10" s="10"/>
      <c r="K10" s="10"/>
    </row>
    <row r="11" spans="2:11" ht="15" customHeight="1" x14ac:dyDescent="0.25">
      <c r="B11" s="159"/>
      <c r="C11" s="148"/>
      <c r="D11" s="2" t="s">
        <v>198</v>
      </c>
      <c r="E11" s="2" t="s">
        <v>125</v>
      </c>
      <c r="F11" s="10">
        <v>14156</v>
      </c>
      <c r="G11" s="10">
        <v>15500</v>
      </c>
      <c r="H11" s="10"/>
      <c r="I11" s="10">
        <v>18000</v>
      </c>
      <c r="J11" s="10"/>
      <c r="K11" s="10"/>
    </row>
    <row r="12" spans="2:11" ht="15" customHeight="1" x14ac:dyDescent="0.25">
      <c r="B12" s="159"/>
      <c r="C12" s="148"/>
      <c r="D12" s="2" t="s">
        <v>198</v>
      </c>
      <c r="E12" s="2" t="s">
        <v>3</v>
      </c>
      <c r="F12" s="10">
        <v>53861</v>
      </c>
      <c r="G12" s="10">
        <v>57000</v>
      </c>
      <c r="H12" s="10"/>
      <c r="I12" s="10">
        <v>60000</v>
      </c>
      <c r="J12" s="10"/>
      <c r="K12" s="10"/>
    </row>
    <row r="13" spans="2:11" ht="15" customHeight="1" x14ac:dyDescent="0.25">
      <c r="B13" s="159"/>
      <c r="C13" s="148"/>
      <c r="D13" s="2" t="s">
        <v>199</v>
      </c>
      <c r="E13" s="2" t="s">
        <v>125</v>
      </c>
      <c r="F13" s="10">
        <v>14410</v>
      </c>
      <c r="G13" s="10">
        <v>15500</v>
      </c>
      <c r="H13" s="10"/>
      <c r="I13" s="10">
        <v>18000</v>
      </c>
      <c r="J13" s="10"/>
      <c r="K13" s="10"/>
    </row>
    <row r="14" spans="2:11" ht="15" customHeight="1" x14ac:dyDescent="0.25">
      <c r="B14" s="159"/>
      <c r="C14" s="148"/>
      <c r="D14" s="2" t="s">
        <v>199</v>
      </c>
      <c r="E14" s="2" t="s">
        <v>3</v>
      </c>
      <c r="F14" s="10">
        <v>53976</v>
      </c>
      <c r="G14" s="10">
        <v>57000</v>
      </c>
      <c r="H14" s="10"/>
      <c r="I14" s="10">
        <v>60000</v>
      </c>
      <c r="J14" s="10"/>
      <c r="K14" s="10"/>
    </row>
    <row r="15" spans="2:11" ht="15" customHeight="1" x14ac:dyDescent="0.25">
      <c r="B15" s="159"/>
      <c r="C15" s="148"/>
      <c r="D15" s="2" t="s">
        <v>200</v>
      </c>
      <c r="E15" s="2" t="s">
        <v>125</v>
      </c>
      <c r="F15" s="10">
        <v>14410</v>
      </c>
      <c r="G15" s="10">
        <v>15500</v>
      </c>
      <c r="H15" s="10"/>
      <c r="I15" s="10">
        <v>18000</v>
      </c>
      <c r="J15" s="10"/>
      <c r="K15" s="10"/>
    </row>
    <row r="16" spans="2:11" ht="15" customHeight="1" x14ac:dyDescent="0.25">
      <c r="B16" s="159"/>
      <c r="C16" s="148"/>
      <c r="D16" s="2" t="s">
        <v>200</v>
      </c>
      <c r="E16" s="2" t="s">
        <v>3</v>
      </c>
      <c r="F16" s="10">
        <v>53976</v>
      </c>
      <c r="G16" s="10">
        <v>57000</v>
      </c>
      <c r="H16" s="10"/>
      <c r="I16" s="10">
        <v>60000</v>
      </c>
      <c r="J16" s="10"/>
      <c r="K16" s="10"/>
    </row>
    <row r="17" spans="1:12" ht="15" customHeight="1" x14ac:dyDescent="0.25">
      <c r="B17" s="159"/>
      <c r="C17" s="148"/>
      <c r="D17" s="2" t="s">
        <v>201</v>
      </c>
      <c r="E17" s="2" t="s">
        <v>125</v>
      </c>
      <c r="F17" s="10">
        <v>13927</v>
      </c>
      <c r="G17" s="10">
        <v>15000</v>
      </c>
      <c r="H17" s="10"/>
      <c r="I17" s="10">
        <v>17000</v>
      </c>
      <c r="J17" s="10"/>
      <c r="K17" s="10"/>
    </row>
    <row r="18" spans="1:12" ht="15" customHeight="1" x14ac:dyDescent="0.25">
      <c r="B18" s="159"/>
      <c r="C18" s="149"/>
      <c r="D18" s="11" t="s">
        <v>201</v>
      </c>
      <c r="E18" s="11" t="s">
        <v>3</v>
      </c>
      <c r="F18" s="10">
        <v>47847</v>
      </c>
      <c r="G18" s="10">
        <v>52000</v>
      </c>
      <c r="H18" s="10"/>
      <c r="I18" s="10">
        <v>56000</v>
      </c>
      <c r="J18" s="10"/>
      <c r="K18" s="10"/>
    </row>
    <row r="19" spans="1:12" ht="15" customHeight="1" x14ac:dyDescent="0.25">
      <c r="B19" s="159"/>
      <c r="C19" s="147" t="s">
        <v>4</v>
      </c>
      <c r="D19" s="2" t="s">
        <v>202</v>
      </c>
      <c r="E19" s="2" t="s">
        <v>203</v>
      </c>
      <c r="F19" s="10">
        <v>45084</v>
      </c>
      <c r="G19" s="10">
        <v>47500</v>
      </c>
      <c r="H19" s="10"/>
      <c r="I19" s="10">
        <v>55000</v>
      </c>
      <c r="J19" s="10"/>
      <c r="K19" s="10"/>
    </row>
    <row r="20" spans="1:12" ht="15" customHeight="1" x14ac:dyDescent="0.25">
      <c r="B20" s="159"/>
      <c r="C20" s="148"/>
      <c r="D20" s="2" t="s">
        <v>204</v>
      </c>
      <c r="E20" s="2" t="s">
        <v>203</v>
      </c>
      <c r="F20" s="10">
        <v>47572</v>
      </c>
      <c r="G20" s="10">
        <v>50000</v>
      </c>
      <c r="H20" s="10"/>
      <c r="I20" s="10">
        <v>57000</v>
      </c>
      <c r="J20" s="10"/>
      <c r="K20" s="10"/>
    </row>
    <row r="21" spans="1:12" ht="15" customHeight="1" x14ac:dyDescent="0.25">
      <c r="A21" t="s">
        <v>665</v>
      </c>
      <c r="B21" s="159"/>
      <c r="C21" s="148"/>
      <c r="D21" s="2" t="s">
        <v>205</v>
      </c>
      <c r="E21" s="2" t="s">
        <v>203</v>
      </c>
      <c r="F21" s="10">
        <v>44617</v>
      </c>
      <c r="G21" s="10">
        <v>47000</v>
      </c>
      <c r="H21" s="10"/>
      <c r="I21" s="10">
        <v>54000</v>
      </c>
      <c r="J21" s="10"/>
      <c r="K21" s="10"/>
    </row>
    <row r="22" spans="1:12" ht="15" customHeight="1" x14ac:dyDescent="0.25">
      <c r="B22" s="159"/>
      <c r="C22" s="148"/>
      <c r="D22" s="2" t="s">
        <v>206</v>
      </c>
      <c r="E22" s="2" t="s">
        <v>207</v>
      </c>
      <c r="F22" s="10">
        <v>45187</v>
      </c>
      <c r="G22" s="10">
        <v>47700</v>
      </c>
      <c r="H22" s="10"/>
      <c r="I22" s="10">
        <v>55000</v>
      </c>
      <c r="J22" s="10"/>
      <c r="K22" s="10"/>
    </row>
    <row r="23" spans="1:12" ht="15" customHeight="1" x14ac:dyDescent="0.25">
      <c r="B23" s="159"/>
      <c r="C23" s="148"/>
      <c r="D23" s="20" t="s">
        <v>208</v>
      </c>
      <c r="E23" s="20" t="s">
        <v>209</v>
      </c>
      <c r="F23" s="115">
        <v>26013</v>
      </c>
      <c r="G23" s="115">
        <v>28000</v>
      </c>
      <c r="H23" s="10"/>
      <c r="I23" s="10"/>
      <c r="J23" s="10"/>
      <c r="K23" s="10"/>
    </row>
    <row r="24" spans="1:12" ht="15" customHeight="1" x14ac:dyDescent="0.25">
      <c r="B24" s="159"/>
      <c r="C24" s="148"/>
      <c r="D24" s="20" t="s">
        <v>210</v>
      </c>
      <c r="E24" s="20" t="s">
        <v>209</v>
      </c>
      <c r="F24" s="115">
        <v>25579</v>
      </c>
      <c r="G24" s="115">
        <v>28000</v>
      </c>
      <c r="H24" s="10"/>
      <c r="I24" s="10"/>
      <c r="J24" s="10"/>
      <c r="K24" s="10"/>
    </row>
    <row r="25" spans="1:12" ht="15" customHeight="1" x14ac:dyDescent="0.25">
      <c r="B25" s="159"/>
      <c r="C25" s="148"/>
      <c r="D25" s="2" t="s">
        <v>583</v>
      </c>
      <c r="E25" s="2" t="s">
        <v>3</v>
      </c>
      <c r="F25" s="10">
        <v>37522</v>
      </c>
      <c r="G25" s="10">
        <v>40000</v>
      </c>
      <c r="H25" s="10"/>
      <c r="I25" s="10">
        <v>47000</v>
      </c>
      <c r="J25" s="10"/>
      <c r="K25" s="10"/>
    </row>
    <row r="26" spans="1:12" ht="15" customHeight="1" x14ac:dyDescent="0.25">
      <c r="B26" s="159"/>
      <c r="C26" s="148"/>
      <c r="D26" s="2" t="s">
        <v>212</v>
      </c>
      <c r="E26" s="2" t="s">
        <v>209</v>
      </c>
      <c r="F26" s="10">
        <v>26013</v>
      </c>
      <c r="G26" s="10">
        <v>28000</v>
      </c>
      <c r="H26" s="10"/>
      <c r="I26" s="10"/>
      <c r="J26" s="10"/>
      <c r="K26" s="10">
        <v>32000</v>
      </c>
      <c r="L26">
        <v>7000</v>
      </c>
    </row>
    <row r="27" spans="1:12" ht="15" customHeight="1" x14ac:dyDescent="0.25">
      <c r="B27" s="159"/>
      <c r="C27" s="148"/>
      <c r="D27" s="2" t="s">
        <v>213</v>
      </c>
      <c r="E27" s="2" t="s">
        <v>203</v>
      </c>
      <c r="F27" s="10">
        <v>49690</v>
      </c>
      <c r="G27" s="10">
        <v>53500</v>
      </c>
      <c r="H27" s="10"/>
      <c r="I27" s="10">
        <v>57000</v>
      </c>
      <c r="J27" s="10"/>
      <c r="K27" s="10"/>
    </row>
    <row r="28" spans="1:12" ht="15" customHeight="1" x14ac:dyDescent="0.25">
      <c r="B28" s="159"/>
      <c r="C28" s="148"/>
      <c r="D28" s="2" t="s">
        <v>214</v>
      </c>
      <c r="E28" s="2" t="s">
        <v>203</v>
      </c>
      <c r="F28" s="10">
        <v>52745</v>
      </c>
      <c r="G28" s="10">
        <v>56000</v>
      </c>
      <c r="H28" s="10"/>
      <c r="I28" s="10">
        <v>60000</v>
      </c>
      <c r="J28" s="10"/>
      <c r="K28" s="10"/>
    </row>
    <row r="29" spans="1:12" ht="15" customHeight="1" x14ac:dyDescent="0.25">
      <c r="B29" s="159"/>
      <c r="C29" s="148"/>
      <c r="D29" s="2" t="s">
        <v>215</v>
      </c>
      <c r="E29" s="2" t="s">
        <v>203</v>
      </c>
      <c r="F29" s="10">
        <v>58362</v>
      </c>
      <c r="G29" s="10">
        <v>61000</v>
      </c>
      <c r="H29" s="10"/>
      <c r="I29" s="10">
        <v>68000</v>
      </c>
      <c r="J29" s="10"/>
      <c r="K29" s="10"/>
    </row>
    <row r="30" spans="1:12" ht="15" customHeight="1" x14ac:dyDescent="0.25">
      <c r="B30" s="159"/>
      <c r="C30" s="148"/>
      <c r="D30" s="2" t="s">
        <v>501</v>
      </c>
      <c r="E30" s="2" t="s">
        <v>203</v>
      </c>
      <c r="F30" s="10">
        <v>47892</v>
      </c>
      <c r="G30" s="10">
        <v>50500</v>
      </c>
      <c r="H30" s="10"/>
      <c r="I30" s="10">
        <v>57000</v>
      </c>
      <c r="J30" s="10"/>
      <c r="K30" s="10"/>
    </row>
    <row r="31" spans="1:12" ht="15" customHeight="1" x14ac:dyDescent="0.25">
      <c r="B31" s="159"/>
      <c r="C31" s="148"/>
      <c r="D31" s="2" t="s">
        <v>217</v>
      </c>
      <c r="E31" s="2" t="s">
        <v>203</v>
      </c>
      <c r="F31" s="10">
        <v>45304</v>
      </c>
      <c r="G31" s="10">
        <v>48000</v>
      </c>
      <c r="H31" s="10"/>
      <c r="I31" s="10">
        <v>55000</v>
      </c>
      <c r="J31" s="10"/>
      <c r="K31" s="10"/>
    </row>
    <row r="32" spans="1:12" ht="15" customHeight="1" x14ac:dyDescent="0.25">
      <c r="B32" s="159"/>
      <c r="C32" s="148"/>
      <c r="D32" s="2" t="s">
        <v>218</v>
      </c>
      <c r="E32" s="2" t="s">
        <v>203</v>
      </c>
      <c r="F32" s="8">
        <v>45377</v>
      </c>
      <c r="G32" s="8">
        <v>48000</v>
      </c>
      <c r="H32" s="10"/>
      <c r="I32" s="10">
        <v>55000</v>
      </c>
      <c r="J32" s="10"/>
      <c r="K32" s="10"/>
    </row>
    <row r="33" spans="2:11" ht="15" customHeight="1" x14ac:dyDescent="0.25">
      <c r="B33" s="160"/>
      <c r="C33" s="149"/>
      <c r="D33" s="20" t="s">
        <v>219</v>
      </c>
      <c r="E33" s="20" t="s">
        <v>203</v>
      </c>
      <c r="F33" s="115">
        <v>46409</v>
      </c>
      <c r="G33" s="115">
        <v>49500</v>
      </c>
      <c r="H33" s="10"/>
      <c r="I33" s="10">
        <v>56000</v>
      </c>
      <c r="J33" s="10"/>
      <c r="K33" s="10"/>
    </row>
    <row r="34" spans="2:11" x14ac:dyDescent="0.25">
      <c r="I34" s="9"/>
      <c r="K34" s="9"/>
    </row>
    <row r="35" spans="2:11" ht="15" customHeight="1" x14ac:dyDescent="0.25">
      <c r="B35" s="158" t="s">
        <v>143</v>
      </c>
      <c r="C35" s="147" t="s">
        <v>1</v>
      </c>
      <c r="D35" s="2" t="s">
        <v>144</v>
      </c>
      <c r="E35" s="2" t="s">
        <v>3</v>
      </c>
      <c r="F35" s="8">
        <v>32898</v>
      </c>
      <c r="G35" s="8">
        <v>35000</v>
      </c>
      <c r="H35" s="8"/>
      <c r="I35" s="10">
        <v>38500</v>
      </c>
      <c r="J35" s="8"/>
      <c r="K35" s="10"/>
    </row>
    <row r="36" spans="2:11" ht="15" customHeight="1" x14ac:dyDescent="0.25">
      <c r="B36" s="159"/>
      <c r="C36" s="148"/>
      <c r="D36" s="2" t="s">
        <v>145</v>
      </c>
      <c r="E36" s="2" t="s">
        <v>146</v>
      </c>
      <c r="F36" s="8">
        <v>10447</v>
      </c>
      <c r="G36" s="8">
        <v>11500</v>
      </c>
      <c r="H36" s="8"/>
      <c r="I36" s="10">
        <v>15000</v>
      </c>
      <c r="J36" s="8">
        <v>6600</v>
      </c>
      <c r="K36" s="10">
        <v>7500</v>
      </c>
    </row>
    <row r="37" spans="2:11" ht="15" customHeight="1" x14ac:dyDescent="0.25">
      <c r="B37" s="159"/>
      <c r="C37" s="148"/>
      <c r="D37" s="2" t="s">
        <v>147</v>
      </c>
      <c r="E37" s="2" t="s">
        <v>146</v>
      </c>
      <c r="F37" s="8">
        <v>9515</v>
      </c>
      <c r="G37" s="8">
        <v>11500</v>
      </c>
      <c r="H37" s="8"/>
      <c r="I37" s="10">
        <v>15000</v>
      </c>
      <c r="J37" s="8">
        <v>6600</v>
      </c>
      <c r="K37" s="10">
        <v>7500</v>
      </c>
    </row>
    <row r="38" spans="2:11" ht="15" customHeight="1" x14ac:dyDescent="0.25">
      <c r="B38" s="159"/>
      <c r="C38" s="148"/>
      <c r="D38" s="2" t="s">
        <v>148</v>
      </c>
      <c r="E38" s="2" t="s">
        <v>3</v>
      </c>
      <c r="F38" s="8">
        <v>33678</v>
      </c>
      <c r="G38" s="8">
        <v>36000</v>
      </c>
      <c r="H38" s="8"/>
      <c r="I38" s="10">
        <v>38500</v>
      </c>
      <c r="J38" s="8">
        <v>29700</v>
      </c>
      <c r="K38" s="10">
        <v>33000</v>
      </c>
    </row>
    <row r="39" spans="2:11" ht="15" customHeight="1" x14ac:dyDescent="0.25">
      <c r="B39" s="159"/>
      <c r="C39" s="148"/>
      <c r="D39" s="2" t="s">
        <v>149</v>
      </c>
      <c r="E39" s="2" t="s">
        <v>146</v>
      </c>
      <c r="F39" s="8">
        <v>10447</v>
      </c>
      <c r="G39" s="8">
        <v>11500</v>
      </c>
      <c r="H39" s="8"/>
      <c r="I39" s="10">
        <v>15000</v>
      </c>
      <c r="J39" s="8">
        <v>6600</v>
      </c>
      <c r="K39" s="10">
        <v>7500</v>
      </c>
    </row>
    <row r="40" spans="2:11" ht="15" customHeight="1" x14ac:dyDescent="0.25">
      <c r="B40" s="159"/>
      <c r="C40" s="149"/>
      <c r="D40" s="2" t="s">
        <v>149</v>
      </c>
      <c r="E40" s="2" t="s">
        <v>3</v>
      </c>
      <c r="F40" s="8">
        <v>35874</v>
      </c>
      <c r="G40" s="8">
        <v>38000</v>
      </c>
      <c r="H40" s="8"/>
      <c r="I40" s="10">
        <v>38500</v>
      </c>
      <c r="J40" s="8">
        <v>31700</v>
      </c>
      <c r="K40" s="10">
        <v>35000</v>
      </c>
    </row>
    <row r="41" spans="2:11" ht="15" customHeight="1" x14ac:dyDescent="0.25">
      <c r="B41" s="159"/>
      <c r="C41" s="147" t="s">
        <v>4</v>
      </c>
      <c r="D41" s="2" t="s">
        <v>150</v>
      </c>
      <c r="E41" s="2" t="s">
        <v>21</v>
      </c>
      <c r="F41" s="10">
        <v>46627</v>
      </c>
      <c r="G41" s="10">
        <v>49000</v>
      </c>
      <c r="H41" s="10"/>
      <c r="I41" s="10">
        <v>51000</v>
      </c>
      <c r="J41" s="10">
        <v>42000</v>
      </c>
      <c r="K41" s="10">
        <v>45000</v>
      </c>
    </row>
    <row r="42" spans="2:11" ht="15" customHeight="1" x14ac:dyDescent="0.25">
      <c r="B42" s="159"/>
      <c r="C42" s="148"/>
      <c r="D42" s="2" t="s">
        <v>151</v>
      </c>
      <c r="E42" s="2" t="s">
        <v>21</v>
      </c>
      <c r="F42" s="10">
        <v>45998</v>
      </c>
      <c r="G42" s="10">
        <v>48500</v>
      </c>
      <c r="H42" s="10"/>
      <c r="I42" s="10">
        <v>51000</v>
      </c>
      <c r="J42" s="10"/>
      <c r="K42" s="10"/>
    </row>
    <row r="43" spans="2:11" ht="15" customHeight="1" x14ac:dyDescent="0.25">
      <c r="B43" s="159"/>
      <c r="C43" s="148"/>
      <c r="D43" s="2" t="s">
        <v>152</v>
      </c>
      <c r="E43" s="2" t="s">
        <v>41</v>
      </c>
      <c r="F43" s="10">
        <v>45091</v>
      </c>
      <c r="G43" s="10">
        <v>48000</v>
      </c>
      <c r="H43" s="10"/>
      <c r="I43" s="10">
        <v>51000</v>
      </c>
      <c r="J43" s="10"/>
      <c r="K43" s="10"/>
    </row>
    <row r="44" spans="2:11" ht="15" customHeight="1" x14ac:dyDescent="0.25">
      <c r="B44" s="159"/>
      <c r="C44" s="148"/>
      <c r="D44" s="2" t="s">
        <v>153</v>
      </c>
      <c r="E44" s="2" t="s">
        <v>21</v>
      </c>
      <c r="F44" s="10">
        <v>48765</v>
      </c>
      <c r="G44" s="10">
        <v>51500</v>
      </c>
      <c r="H44" s="10"/>
      <c r="I44" s="10">
        <v>52000</v>
      </c>
      <c r="J44" s="10">
        <v>43700</v>
      </c>
      <c r="K44" s="10">
        <v>47000</v>
      </c>
    </row>
    <row r="45" spans="2:11" ht="15" customHeight="1" x14ac:dyDescent="0.25">
      <c r="B45" s="160"/>
      <c r="C45" s="149"/>
      <c r="D45" s="2" t="s">
        <v>154</v>
      </c>
      <c r="E45" s="2" t="s">
        <v>41</v>
      </c>
      <c r="F45" s="10">
        <v>35932</v>
      </c>
      <c r="G45" s="10">
        <v>39000</v>
      </c>
      <c r="H45" s="10"/>
      <c r="I45" s="10">
        <v>42000</v>
      </c>
      <c r="J45" s="10"/>
      <c r="K45" s="10"/>
    </row>
    <row r="47" spans="2:11" x14ac:dyDescent="0.25">
      <c r="D47" t="s">
        <v>620</v>
      </c>
    </row>
    <row r="54" spans="9:9" x14ac:dyDescent="0.25">
      <c r="I54" t="s">
        <v>619</v>
      </c>
    </row>
  </sheetData>
  <mergeCells count="8">
    <mergeCell ref="B35:B45"/>
    <mergeCell ref="C35:C40"/>
    <mergeCell ref="C41:C45"/>
    <mergeCell ref="B4:B6"/>
    <mergeCell ref="C4:C6"/>
    <mergeCell ref="B8:B33"/>
    <mergeCell ref="C8:C18"/>
    <mergeCell ref="C19:C33"/>
  </mergeCells>
  <pageMargins left="1" right="1" top="1" bottom="1" header="0.5" footer="0.5"/>
  <pageSetup scale="7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B2:M69"/>
  <sheetViews>
    <sheetView topLeftCell="D1" zoomScale="85" zoomScaleNormal="85" workbookViewId="0">
      <selection activeCell="F52" sqref="F52:F55"/>
    </sheetView>
  </sheetViews>
  <sheetFormatPr defaultColWidth="9.140625" defaultRowHeight="15" x14ac:dyDescent="0.25"/>
  <cols>
    <col min="2" max="2" width="20.5703125" bestFit="1" customWidth="1"/>
    <col min="3" max="3" width="12.5703125" bestFit="1" customWidth="1"/>
    <col min="4" max="4" width="52.85546875" bestFit="1" customWidth="1"/>
    <col min="5" max="5" width="12.7109375" customWidth="1"/>
    <col min="6" max="6" width="9.5703125" bestFit="1" customWidth="1"/>
    <col min="7" max="7" width="13.5703125" customWidth="1"/>
    <col min="8" max="8" width="22" bestFit="1" customWidth="1"/>
    <col min="9" max="9" width="27" bestFit="1" customWidth="1"/>
    <col min="11" max="11" width="46.85546875" customWidth="1"/>
  </cols>
  <sheetData>
    <row r="2" spans="2:13" ht="18.75" x14ac:dyDescent="0.3">
      <c r="B2" s="88" t="s">
        <v>192</v>
      </c>
      <c r="C2" s="88" t="s">
        <v>247</v>
      </c>
      <c r="D2" s="89" t="s">
        <v>248</v>
      </c>
      <c r="E2" s="89" t="s">
        <v>193</v>
      </c>
      <c r="F2" s="22" t="s">
        <v>194</v>
      </c>
      <c r="G2" s="82"/>
      <c r="H2" s="57" t="s">
        <v>250</v>
      </c>
      <c r="I2" s="50" t="s">
        <v>251</v>
      </c>
    </row>
    <row r="3" spans="2:13" ht="15" customHeight="1" x14ac:dyDescent="0.25">
      <c r="B3" s="162" t="s">
        <v>271</v>
      </c>
      <c r="C3" s="161" t="s">
        <v>1</v>
      </c>
      <c r="D3" s="84" t="s">
        <v>158</v>
      </c>
      <c r="E3" s="84" t="s">
        <v>159</v>
      </c>
      <c r="F3" s="85">
        <v>58500</v>
      </c>
      <c r="G3" s="85"/>
      <c r="H3" s="58"/>
      <c r="I3" s="56"/>
    </row>
    <row r="4" spans="2:13" ht="15" customHeight="1" x14ac:dyDescent="0.25">
      <c r="B4" s="162"/>
      <c r="C4" s="161"/>
      <c r="D4" s="94" t="s">
        <v>158</v>
      </c>
      <c r="E4" s="94" t="s">
        <v>160</v>
      </c>
      <c r="F4" s="95">
        <v>53000</v>
      </c>
      <c r="G4" s="95"/>
      <c r="H4" s="58"/>
      <c r="I4" s="56"/>
    </row>
    <row r="5" spans="2:13" x14ac:dyDescent="0.25">
      <c r="B5" s="162"/>
      <c r="C5" s="161"/>
      <c r="D5" s="84" t="s">
        <v>158</v>
      </c>
      <c r="E5" s="84" t="s">
        <v>24</v>
      </c>
      <c r="F5" s="85">
        <v>22900</v>
      </c>
      <c r="G5" s="85"/>
      <c r="H5" s="58"/>
      <c r="I5" s="56"/>
      <c r="K5" s="66" t="s">
        <v>158</v>
      </c>
      <c r="L5" s="66" t="s">
        <v>160</v>
      </c>
      <c r="M5" s="67">
        <v>53000</v>
      </c>
    </row>
    <row r="6" spans="2:13" x14ac:dyDescent="0.25">
      <c r="B6" s="162"/>
      <c r="C6" s="161"/>
      <c r="D6" s="84" t="s">
        <v>158</v>
      </c>
      <c r="E6" s="84" t="s">
        <v>47</v>
      </c>
      <c r="F6" s="85">
        <v>11500</v>
      </c>
      <c r="G6" s="85"/>
      <c r="H6" s="58"/>
      <c r="I6" s="56"/>
      <c r="K6" s="66" t="s">
        <v>161</v>
      </c>
      <c r="L6" s="66" t="s">
        <v>160</v>
      </c>
      <c r="M6" s="67">
        <v>53000</v>
      </c>
    </row>
    <row r="7" spans="2:13" x14ac:dyDescent="0.25">
      <c r="B7" s="162"/>
      <c r="C7" s="161"/>
      <c r="D7" s="84" t="s">
        <v>161</v>
      </c>
      <c r="E7" s="84" t="s">
        <v>159</v>
      </c>
      <c r="F7" s="85">
        <v>58000</v>
      </c>
      <c r="G7" s="85"/>
      <c r="H7" s="58"/>
      <c r="I7" s="56"/>
      <c r="K7" s="66" t="s">
        <v>162</v>
      </c>
      <c r="L7" s="66" t="s">
        <v>160</v>
      </c>
      <c r="M7" s="67">
        <v>54500</v>
      </c>
    </row>
    <row r="8" spans="2:13" x14ac:dyDescent="0.25">
      <c r="B8" s="162"/>
      <c r="C8" s="161"/>
      <c r="D8" s="94" t="s">
        <v>161</v>
      </c>
      <c r="E8" s="94" t="s">
        <v>160</v>
      </c>
      <c r="F8" s="95">
        <v>53000</v>
      </c>
      <c r="G8" s="95"/>
      <c r="H8" s="58"/>
      <c r="I8" s="56"/>
      <c r="K8" s="66" t="s">
        <v>163</v>
      </c>
      <c r="L8" s="66" t="s">
        <v>160</v>
      </c>
      <c r="M8" s="67">
        <v>53000</v>
      </c>
    </row>
    <row r="9" spans="2:13" x14ac:dyDescent="0.25">
      <c r="B9" s="162"/>
      <c r="C9" s="161"/>
      <c r="D9" s="84" t="s">
        <v>161</v>
      </c>
      <c r="E9" s="84" t="s">
        <v>24</v>
      </c>
      <c r="F9" s="85">
        <v>22900</v>
      </c>
      <c r="G9" s="85"/>
      <c r="H9" s="58"/>
      <c r="I9" s="56"/>
      <c r="K9" s="66" t="s">
        <v>164</v>
      </c>
      <c r="L9" s="66" t="s">
        <v>160</v>
      </c>
      <c r="M9" s="67">
        <v>53000</v>
      </c>
    </row>
    <row r="10" spans="2:13" x14ac:dyDescent="0.25">
      <c r="B10" s="162"/>
      <c r="C10" s="161"/>
      <c r="D10" s="84" t="s">
        <v>161</v>
      </c>
      <c r="E10" s="84" t="s">
        <v>47</v>
      </c>
      <c r="F10" s="85">
        <v>11500</v>
      </c>
      <c r="G10" s="85"/>
      <c r="H10" s="58"/>
      <c r="I10" s="56"/>
      <c r="K10" s="66" t="s">
        <v>174</v>
      </c>
      <c r="L10" s="66" t="s">
        <v>160</v>
      </c>
      <c r="M10" s="67">
        <v>42000</v>
      </c>
    </row>
    <row r="11" spans="2:13" x14ac:dyDescent="0.25">
      <c r="B11" s="162"/>
      <c r="C11" s="161"/>
      <c r="D11" s="84" t="s">
        <v>162</v>
      </c>
      <c r="E11" s="84" t="s">
        <v>159</v>
      </c>
      <c r="F11" s="85">
        <v>60500</v>
      </c>
      <c r="G11" s="85"/>
      <c r="H11" s="58"/>
      <c r="I11" s="56"/>
      <c r="K11" s="66" t="s">
        <v>177</v>
      </c>
      <c r="L11" s="66" t="s">
        <v>160</v>
      </c>
      <c r="M11" s="67">
        <v>42000</v>
      </c>
    </row>
    <row r="12" spans="2:13" x14ac:dyDescent="0.25">
      <c r="B12" s="162"/>
      <c r="C12" s="161"/>
      <c r="D12" s="94" t="s">
        <v>162</v>
      </c>
      <c r="E12" s="94" t="s">
        <v>160</v>
      </c>
      <c r="F12" s="95">
        <v>54500</v>
      </c>
      <c r="G12" s="95"/>
      <c r="H12" s="58"/>
      <c r="I12" s="56"/>
      <c r="K12" s="66" t="s">
        <v>176</v>
      </c>
      <c r="L12" s="66" t="s">
        <v>160</v>
      </c>
      <c r="M12" s="67">
        <v>38500</v>
      </c>
    </row>
    <row r="13" spans="2:13" x14ac:dyDescent="0.25">
      <c r="B13" s="162"/>
      <c r="C13" s="161"/>
      <c r="D13" s="84" t="s">
        <v>162</v>
      </c>
      <c r="E13" s="84" t="s">
        <v>24</v>
      </c>
      <c r="F13" s="85">
        <v>24300</v>
      </c>
      <c r="G13" s="85"/>
      <c r="H13" s="58"/>
      <c r="I13" s="56"/>
      <c r="K13" s="66" t="s">
        <v>179</v>
      </c>
      <c r="L13" s="66" t="s">
        <v>160</v>
      </c>
      <c r="M13" s="67">
        <v>42000</v>
      </c>
    </row>
    <row r="14" spans="2:13" x14ac:dyDescent="0.25">
      <c r="B14" s="162"/>
      <c r="C14" s="161"/>
      <c r="D14" s="84" t="s">
        <v>162</v>
      </c>
      <c r="E14" s="84" t="s">
        <v>47</v>
      </c>
      <c r="F14" s="85">
        <v>12500</v>
      </c>
      <c r="G14" s="85"/>
      <c r="H14" s="58"/>
      <c r="I14" s="56"/>
      <c r="K14" s="66" t="s">
        <v>158</v>
      </c>
      <c r="L14" s="66" t="s">
        <v>584</v>
      </c>
      <c r="M14" s="67">
        <v>22900</v>
      </c>
    </row>
    <row r="15" spans="2:13" x14ac:dyDescent="0.25">
      <c r="B15" s="162"/>
      <c r="C15" s="161"/>
      <c r="D15" s="84" t="s">
        <v>162</v>
      </c>
      <c r="E15" s="84" t="s">
        <v>88</v>
      </c>
      <c r="F15" s="85"/>
      <c r="G15" s="85"/>
      <c r="H15" s="58"/>
      <c r="I15" s="56"/>
      <c r="K15" s="66" t="s">
        <v>161</v>
      </c>
      <c r="L15" s="66" t="s">
        <v>584</v>
      </c>
      <c r="M15" s="67">
        <v>22900</v>
      </c>
    </row>
    <row r="16" spans="2:13" x14ac:dyDescent="0.25">
      <c r="B16" s="162"/>
      <c r="C16" s="161"/>
      <c r="D16" s="84" t="s">
        <v>163</v>
      </c>
      <c r="E16" s="84" t="s">
        <v>159</v>
      </c>
      <c r="F16" s="85">
        <v>60000</v>
      </c>
      <c r="G16" s="85"/>
      <c r="H16" s="58"/>
      <c r="I16" s="56"/>
      <c r="K16" s="66" t="s">
        <v>162</v>
      </c>
      <c r="L16" s="66" t="s">
        <v>584</v>
      </c>
      <c r="M16" s="67">
        <v>24300</v>
      </c>
    </row>
    <row r="17" spans="2:13" x14ac:dyDescent="0.25">
      <c r="B17" s="162"/>
      <c r="C17" s="161"/>
      <c r="D17" s="94" t="s">
        <v>163</v>
      </c>
      <c r="E17" s="94" t="s">
        <v>160</v>
      </c>
      <c r="F17" s="95">
        <v>53000</v>
      </c>
      <c r="G17" s="95"/>
      <c r="H17" s="58"/>
      <c r="I17" s="56"/>
      <c r="K17" s="66" t="s">
        <v>163</v>
      </c>
      <c r="L17" s="66" t="s">
        <v>584</v>
      </c>
      <c r="M17" s="67">
        <v>24300</v>
      </c>
    </row>
    <row r="18" spans="2:13" x14ac:dyDescent="0.25">
      <c r="B18" s="162"/>
      <c r="C18" s="161"/>
      <c r="D18" s="84" t="s">
        <v>163</v>
      </c>
      <c r="E18" s="84" t="s">
        <v>24</v>
      </c>
      <c r="F18" s="85">
        <v>24300</v>
      </c>
      <c r="G18" s="85"/>
      <c r="H18" s="58"/>
      <c r="I18" s="56"/>
      <c r="K18" s="66" t="s">
        <v>164</v>
      </c>
      <c r="L18" s="66" t="s">
        <v>584</v>
      </c>
      <c r="M18" s="67">
        <v>22900</v>
      </c>
    </row>
    <row r="19" spans="2:13" x14ac:dyDescent="0.25">
      <c r="B19" s="162"/>
      <c r="C19" s="161"/>
      <c r="D19" s="84" t="s">
        <v>163</v>
      </c>
      <c r="E19" s="84" t="s">
        <v>47</v>
      </c>
      <c r="F19" s="85">
        <v>11500</v>
      </c>
      <c r="G19" s="85"/>
      <c r="H19" s="58"/>
      <c r="I19" s="56"/>
    </row>
    <row r="20" spans="2:13" x14ac:dyDescent="0.25">
      <c r="B20" s="162"/>
      <c r="C20" s="161"/>
      <c r="D20" s="84" t="s">
        <v>164</v>
      </c>
      <c r="E20" s="84" t="s">
        <v>159</v>
      </c>
      <c r="F20" s="85">
        <v>58000</v>
      </c>
      <c r="G20" s="85"/>
      <c r="H20" s="58"/>
      <c r="I20" s="56"/>
    </row>
    <row r="21" spans="2:13" x14ac:dyDescent="0.25">
      <c r="B21" s="162"/>
      <c r="C21" s="161"/>
      <c r="D21" s="94" t="s">
        <v>164</v>
      </c>
      <c r="E21" s="94" t="s">
        <v>165</v>
      </c>
      <c r="F21" s="95">
        <v>53000</v>
      </c>
      <c r="G21" s="95"/>
      <c r="H21" s="58"/>
      <c r="I21" s="56" t="s">
        <v>485</v>
      </c>
    </row>
    <row r="22" spans="2:13" x14ac:dyDescent="0.25">
      <c r="B22" s="162"/>
      <c r="C22" s="161"/>
      <c r="D22" s="84" t="s">
        <v>164</v>
      </c>
      <c r="E22" s="84" t="s">
        <v>24</v>
      </c>
      <c r="F22" s="85">
        <v>22900</v>
      </c>
      <c r="G22" s="85"/>
      <c r="H22" s="58"/>
      <c r="I22" s="56"/>
    </row>
    <row r="23" spans="2:13" x14ac:dyDescent="0.25">
      <c r="B23" s="162"/>
      <c r="C23" s="161"/>
      <c r="D23" s="84" t="s">
        <v>164</v>
      </c>
      <c r="E23" s="84" t="s">
        <v>47</v>
      </c>
      <c r="F23" s="85">
        <v>11500</v>
      </c>
      <c r="G23" s="85"/>
      <c r="H23" s="58"/>
      <c r="I23" s="56"/>
    </row>
    <row r="24" spans="2:13" x14ac:dyDescent="0.25">
      <c r="B24" s="162"/>
      <c r="C24" s="161"/>
      <c r="D24" s="84" t="s">
        <v>164</v>
      </c>
      <c r="E24" s="84" t="s">
        <v>88</v>
      </c>
      <c r="F24" s="85"/>
      <c r="G24" s="85"/>
      <c r="H24" s="58"/>
      <c r="I24" s="56"/>
    </row>
    <row r="25" spans="2:13" x14ac:dyDescent="0.25">
      <c r="B25" s="162" t="s">
        <v>272</v>
      </c>
      <c r="C25" s="161" t="s">
        <v>4</v>
      </c>
      <c r="D25" s="84" t="s">
        <v>173</v>
      </c>
      <c r="E25" s="84" t="s">
        <v>159</v>
      </c>
      <c r="F25" s="85">
        <v>48500</v>
      </c>
      <c r="G25" s="85"/>
      <c r="H25" s="58"/>
      <c r="I25" s="56"/>
    </row>
    <row r="26" spans="2:13" x14ac:dyDescent="0.25">
      <c r="B26" s="162"/>
      <c r="C26" s="161"/>
      <c r="D26" s="84" t="s">
        <v>173</v>
      </c>
      <c r="E26" s="84" t="s">
        <v>21</v>
      </c>
      <c r="F26" s="85">
        <v>37500</v>
      </c>
      <c r="G26" s="85"/>
      <c r="H26" s="58"/>
      <c r="I26" s="56"/>
    </row>
    <row r="27" spans="2:13" x14ac:dyDescent="0.25">
      <c r="B27" s="162"/>
      <c r="C27" s="161"/>
      <c r="D27" s="84" t="s">
        <v>174</v>
      </c>
      <c r="E27" s="84" t="s">
        <v>175</v>
      </c>
      <c r="F27" s="85">
        <v>41000</v>
      </c>
      <c r="G27" s="85"/>
      <c r="H27" s="58"/>
      <c r="I27" s="56"/>
      <c r="K27" s="103" t="s">
        <v>174</v>
      </c>
      <c r="L27" s="103" t="s">
        <v>175</v>
      </c>
      <c r="M27" s="97">
        <v>41000</v>
      </c>
    </row>
    <row r="28" spans="2:13" x14ac:dyDescent="0.25">
      <c r="B28" s="162"/>
      <c r="C28" s="161"/>
      <c r="D28" s="84" t="s">
        <v>173</v>
      </c>
      <c r="E28" s="84" t="s">
        <v>24</v>
      </c>
      <c r="F28" s="85"/>
      <c r="G28" s="85"/>
      <c r="H28" s="58"/>
      <c r="I28" s="56"/>
      <c r="K28" s="103" t="s">
        <v>176</v>
      </c>
      <c r="L28" s="103" t="s">
        <v>175</v>
      </c>
      <c r="M28" s="97">
        <v>37500</v>
      </c>
    </row>
    <row r="29" spans="2:13" x14ac:dyDescent="0.25">
      <c r="B29" s="162"/>
      <c r="C29" s="161"/>
      <c r="D29" s="84" t="s">
        <v>173</v>
      </c>
      <c r="E29" s="84" t="s">
        <v>47</v>
      </c>
      <c r="F29" s="85"/>
      <c r="G29" s="85"/>
      <c r="H29" s="58"/>
      <c r="I29" s="56"/>
      <c r="K29" s="103" t="s">
        <v>579</v>
      </c>
      <c r="L29" s="103" t="s">
        <v>175</v>
      </c>
      <c r="M29" s="97">
        <v>41000</v>
      </c>
    </row>
    <row r="30" spans="2:13" x14ac:dyDescent="0.25">
      <c r="B30" s="162"/>
      <c r="C30" s="161"/>
      <c r="D30" s="84" t="s">
        <v>176</v>
      </c>
      <c r="E30" s="84" t="s">
        <v>159</v>
      </c>
      <c r="F30" s="85">
        <v>43500</v>
      </c>
      <c r="G30" s="85"/>
      <c r="H30" s="58"/>
      <c r="I30" s="56"/>
      <c r="K30" s="103" t="s">
        <v>178</v>
      </c>
      <c r="L30" s="103" t="s">
        <v>175</v>
      </c>
      <c r="M30" s="97">
        <v>41000</v>
      </c>
    </row>
    <row r="31" spans="2:13" x14ac:dyDescent="0.25">
      <c r="B31" s="162"/>
      <c r="C31" s="161"/>
      <c r="D31" s="84" t="s">
        <v>176</v>
      </c>
      <c r="E31" s="84" t="s">
        <v>21</v>
      </c>
      <c r="F31" s="85">
        <v>34300</v>
      </c>
      <c r="G31" s="85"/>
      <c r="H31" s="58"/>
      <c r="I31" s="56"/>
    </row>
    <row r="32" spans="2:13" x14ac:dyDescent="0.25">
      <c r="B32" s="162"/>
      <c r="C32" s="161"/>
      <c r="D32" s="84" t="s">
        <v>176</v>
      </c>
      <c r="E32" s="84" t="s">
        <v>175</v>
      </c>
      <c r="F32" s="85">
        <v>37500</v>
      </c>
      <c r="G32" s="85"/>
      <c r="H32" s="58"/>
      <c r="I32" s="56"/>
    </row>
    <row r="33" spans="2:11" x14ac:dyDescent="0.25">
      <c r="B33" s="162"/>
      <c r="C33" s="161"/>
      <c r="D33" s="84" t="s">
        <v>176</v>
      </c>
      <c r="E33" s="84" t="s">
        <v>459</v>
      </c>
      <c r="F33" s="85">
        <v>34000</v>
      </c>
      <c r="G33" s="85"/>
      <c r="H33" s="58"/>
      <c r="I33" s="56"/>
    </row>
    <row r="34" spans="2:11" x14ac:dyDescent="0.25">
      <c r="B34" s="162"/>
      <c r="C34" s="161"/>
      <c r="D34" s="84" t="s">
        <v>176</v>
      </c>
      <c r="E34" s="84" t="s">
        <v>24</v>
      </c>
      <c r="F34" s="85"/>
      <c r="G34" s="85"/>
      <c r="H34" s="58"/>
      <c r="I34" s="56"/>
    </row>
    <row r="35" spans="2:11" x14ac:dyDescent="0.25">
      <c r="B35" s="162"/>
      <c r="C35" s="161"/>
      <c r="D35" s="84" t="s">
        <v>176</v>
      </c>
      <c r="E35" s="84" t="s">
        <v>47</v>
      </c>
      <c r="F35" s="85"/>
      <c r="G35" s="85"/>
      <c r="H35" s="58"/>
      <c r="I35" s="56"/>
    </row>
    <row r="36" spans="2:11" x14ac:dyDescent="0.25">
      <c r="B36" s="162"/>
      <c r="C36" s="161"/>
      <c r="D36" s="84" t="s">
        <v>177</v>
      </c>
      <c r="E36" s="84" t="s">
        <v>165</v>
      </c>
      <c r="F36" s="85">
        <v>41000</v>
      </c>
      <c r="G36" s="85"/>
      <c r="H36" s="58"/>
      <c r="I36" s="56"/>
    </row>
    <row r="37" spans="2:11" x14ac:dyDescent="0.25">
      <c r="B37" s="162"/>
      <c r="C37" s="161"/>
      <c r="D37" s="84" t="s">
        <v>178</v>
      </c>
      <c r="E37" s="84" t="s">
        <v>159</v>
      </c>
      <c r="F37" s="85">
        <v>48500</v>
      </c>
      <c r="G37" s="85"/>
      <c r="H37" s="58"/>
      <c r="I37" s="56"/>
    </row>
    <row r="38" spans="2:11" x14ac:dyDescent="0.25">
      <c r="B38" s="162"/>
      <c r="C38" s="161"/>
      <c r="D38" s="84" t="s">
        <v>178</v>
      </c>
      <c r="E38" s="84" t="s">
        <v>21</v>
      </c>
      <c r="F38" s="85"/>
      <c r="G38" s="85"/>
      <c r="H38" s="58"/>
      <c r="I38" s="56"/>
    </row>
    <row r="39" spans="2:11" x14ac:dyDescent="0.25">
      <c r="B39" s="162"/>
      <c r="C39" s="161"/>
      <c r="D39" s="84" t="s">
        <v>179</v>
      </c>
      <c r="E39" s="84" t="s">
        <v>175</v>
      </c>
      <c r="F39" s="85">
        <v>41000</v>
      </c>
      <c r="G39" s="85"/>
      <c r="H39" s="58"/>
      <c r="I39" s="56"/>
    </row>
    <row r="40" spans="2:11" x14ac:dyDescent="0.25">
      <c r="B40" s="162"/>
      <c r="C40" s="161"/>
      <c r="D40" s="84" t="s">
        <v>178</v>
      </c>
      <c r="E40" s="84" t="s">
        <v>24</v>
      </c>
      <c r="F40" s="85"/>
      <c r="G40" s="85"/>
      <c r="H40" s="58"/>
      <c r="I40" s="56"/>
    </row>
    <row r="41" spans="2:11" x14ac:dyDescent="0.25">
      <c r="B41" s="162"/>
      <c r="C41" s="161"/>
      <c r="D41" s="84" t="s">
        <v>178</v>
      </c>
      <c r="E41" s="84" t="s">
        <v>47</v>
      </c>
      <c r="F41" s="85"/>
      <c r="G41" s="85"/>
      <c r="H41" s="58"/>
      <c r="I41" s="56"/>
    </row>
    <row r="42" spans="2:11" x14ac:dyDescent="0.25">
      <c r="B42" s="162"/>
      <c r="C42" s="161"/>
      <c r="D42" s="84" t="s">
        <v>180</v>
      </c>
      <c r="E42" s="84" t="s">
        <v>21</v>
      </c>
      <c r="F42" s="85"/>
      <c r="G42" s="85"/>
      <c r="H42" s="58"/>
      <c r="I42" s="56"/>
    </row>
    <row r="43" spans="2:11" x14ac:dyDescent="0.25">
      <c r="B43" s="162"/>
      <c r="C43" s="161"/>
      <c r="D43" s="84" t="s">
        <v>180</v>
      </c>
      <c r="E43" s="84" t="s">
        <v>24</v>
      </c>
      <c r="F43" s="85">
        <v>18000</v>
      </c>
      <c r="G43" s="85"/>
      <c r="H43" s="58"/>
      <c r="I43" s="56"/>
    </row>
    <row r="44" spans="2:11" x14ac:dyDescent="0.25">
      <c r="B44" s="162"/>
      <c r="C44" s="161"/>
      <c r="D44" s="84" t="s">
        <v>181</v>
      </c>
      <c r="E44" s="84" t="s">
        <v>21</v>
      </c>
      <c r="F44" s="85"/>
      <c r="G44" s="85"/>
      <c r="H44" s="58"/>
      <c r="I44" s="56"/>
    </row>
    <row r="45" spans="2:11" x14ac:dyDescent="0.25">
      <c r="B45" s="162"/>
      <c r="C45" s="161"/>
      <c r="D45" s="84" t="s">
        <v>181</v>
      </c>
      <c r="E45" s="84" t="s">
        <v>47</v>
      </c>
      <c r="F45" s="85"/>
      <c r="G45" s="85"/>
      <c r="H45" s="58"/>
      <c r="I45" s="56"/>
    </row>
    <row r="46" spans="2:11" x14ac:dyDescent="0.25">
      <c r="B46" s="86"/>
      <c r="C46" s="86"/>
      <c r="D46" s="86"/>
      <c r="E46" s="86"/>
      <c r="F46" s="86"/>
      <c r="G46" s="86"/>
      <c r="H46" s="58"/>
      <c r="K46">
        <v>0</v>
      </c>
    </row>
    <row r="47" spans="2:11" x14ac:dyDescent="0.25">
      <c r="B47" s="162" t="s">
        <v>256</v>
      </c>
      <c r="C47" s="161" t="s">
        <v>4</v>
      </c>
      <c r="D47" s="84" t="s">
        <v>187</v>
      </c>
      <c r="E47" s="84" t="s">
        <v>159</v>
      </c>
      <c r="F47" s="85">
        <v>33000</v>
      </c>
      <c r="G47" s="85"/>
      <c r="H47" s="58"/>
      <c r="I47" s="56"/>
      <c r="K47">
        <v>0</v>
      </c>
    </row>
    <row r="48" spans="2:11" x14ac:dyDescent="0.25">
      <c r="B48" s="162"/>
      <c r="C48" s="161"/>
      <c r="D48" s="84" t="s">
        <v>187</v>
      </c>
      <c r="E48" s="84" t="s">
        <v>21</v>
      </c>
      <c r="F48" s="85"/>
      <c r="G48" s="85"/>
      <c r="H48" s="58"/>
      <c r="I48" s="56"/>
    </row>
    <row r="49" spans="2:12" x14ac:dyDescent="0.25">
      <c r="B49" s="162"/>
      <c r="C49" s="161"/>
      <c r="D49" s="84" t="s">
        <v>188</v>
      </c>
      <c r="E49" s="84" t="s">
        <v>159</v>
      </c>
      <c r="F49" s="85">
        <v>33000</v>
      </c>
      <c r="G49" s="85"/>
      <c r="H49" s="58"/>
      <c r="I49" s="56"/>
    </row>
    <row r="50" spans="2:12" x14ac:dyDescent="0.25">
      <c r="B50" s="162"/>
      <c r="C50" s="161"/>
      <c r="D50" s="84" t="s">
        <v>188</v>
      </c>
      <c r="E50" s="84" t="s">
        <v>21</v>
      </c>
      <c r="F50" s="85">
        <v>27000</v>
      </c>
      <c r="G50" s="85"/>
      <c r="H50" s="58"/>
      <c r="I50" s="56"/>
    </row>
    <row r="51" spans="2:12" ht="26.25" x14ac:dyDescent="0.4">
      <c r="B51" s="87"/>
      <c r="C51" s="86"/>
      <c r="D51" s="86"/>
      <c r="E51" s="86"/>
      <c r="F51" s="86" t="s">
        <v>590</v>
      </c>
      <c r="G51" s="86"/>
      <c r="H51" s="58" t="s">
        <v>589</v>
      </c>
    </row>
    <row r="52" spans="2:12" x14ac:dyDescent="0.25">
      <c r="B52" s="162" t="s">
        <v>257</v>
      </c>
      <c r="C52" s="161" t="s">
        <v>4</v>
      </c>
      <c r="D52" s="84" t="s">
        <v>182</v>
      </c>
      <c r="E52" s="84" t="s">
        <v>183</v>
      </c>
      <c r="F52" s="85">
        <v>31500</v>
      </c>
      <c r="G52" s="85"/>
      <c r="H52" s="97">
        <v>33000</v>
      </c>
      <c r="I52" s="56"/>
    </row>
    <row r="53" spans="2:12" x14ac:dyDescent="0.25">
      <c r="B53" s="162"/>
      <c r="C53" s="161"/>
      <c r="D53" s="84" t="s">
        <v>184</v>
      </c>
      <c r="E53" s="84" t="s">
        <v>183</v>
      </c>
      <c r="F53" s="85">
        <v>29500</v>
      </c>
      <c r="G53" s="85"/>
      <c r="H53" s="97">
        <v>33000</v>
      </c>
      <c r="I53" s="56"/>
      <c r="L53" t="s">
        <v>624</v>
      </c>
    </row>
    <row r="54" spans="2:12" x14ac:dyDescent="0.25">
      <c r="B54" s="162"/>
      <c r="C54" s="161"/>
      <c r="D54" s="84" t="s">
        <v>185</v>
      </c>
      <c r="E54" s="84" t="s">
        <v>183</v>
      </c>
      <c r="F54" s="85">
        <v>29500</v>
      </c>
      <c r="G54" s="85"/>
      <c r="H54" s="97">
        <v>34000</v>
      </c>
      <c r="I54" s="56"/>
    </row>
    <row r="55" spans="2:12" x14ac:dyDescent="0.25">
      <c r="B55" s="162"/>
      <c r="C55" s="161"/>
      <c r="D55" s="84" t="s">
        <v>186</v>
      </c>
      <c r="E55" s="84" t="s">
        <v>41</v>
      </c>
      <c r="F55" s="85">
        <v>25000</v>
      </c>
      <c r="G55" s="85"/>
      <c r="H55" s="97">
        <v>27500</v>
      </c>
      <c r="I55" s="56"/>
    </row>
    <row r="56" spans="2:12" x14ac:dyDescent="0.25">
      <c r="B56" s="162"/>
      <c r="C56" s="161" t="s">
        <v>1</v>
      </c>
      <c r="D56" s="84" t="s">
        <v>166</v>
      </c>
      <c r="E56" s="84" t="s">
        <v>167</v>
      </c>
      <c r="F56" s="85">
        <v>22500</v>
      </c>
      <c r="G56" s="85">
        <v>23000</v>
      </c>
      <c r="H56" s="97">
        <v>27500</v>
      </c>
      <c r="I56" s="56"/>
    </row>
    <row r="57" spans="2:12" x14ac:dyDescent="0.25">
      <c r="B57" s="162"/>
      <c r="C57" s="161"/>
      <c r="D57" s="84" t="s">
        <v>458</v>
      </c>
      <c r="E57" s="84" t="s">
        <v>191</v>
      </c>
      <c r="F57" s="85">
        <v>22500</v>
      </c>
      <c r="G57" s="85">
        <v>23000</v>
      </c>
      <c r="H57" s="97">
        <v>27500</v>
      </c>
      <c r="I57" s="56"/>
    </row>
    <row r="58" spans="2:12" x14ac:dyDescent="0.25">
      <c r="B58" s="162"/>
      <c r="C58" s="161"/>
      <c r="D58" s="84" t="s">
        <v>168</v>
      </c>
      <c r="E58" s="84" t="s">
        <v>167</v>
      </c>
      <c r="F58" s="85">
        <v>22500</v>
      </c>
      <c r="G58" s="85">
        <v>23000</v>
      </c>
      <c r="H58" s="98">
        <v>27500</v>
      </c>
      <c r="I58" s="56"/>
    </row>
    <row r="59" spans="2:12" x14ac:dyDescent="0.25">
      <c r="B59" s="162"/>
      <c r="C59" s="161"/>
      <c r="D59" s="84" t="s">
        <v>169</v>
      </c>
      <c r="E59" s="84" t="s">
        <v>167</v>
      </c>
      <c r="F59" s="85">
        <v>22500</v>
      </c>
      <c r="G59" s="85">
        <v>23000</v>
      </c>
      <c r="H59" s="98">
        <v>27500</v>
      </c>
      <c r="I59" s="56"/>
    </row>
    <row r="60" spans="2:12" ht="26.25" x14ac:dyDescent="0.4">
      <c r="B60" s="87"/>
      <c r="C60" s="86"/>
      <c r="D60" s="86"/>
      <c r="E60" s="86"/>
      <c r="F60" s="86"/>
      <c r="G60" s="86"/>
      <c r="H60" s="58"/>
    </row>
    <row r="61" spans="2:12" x14ac:dyDescent="0.25">
      <c r="B61" s="162" t="s">
        <v>258</v>
      </c>
      <c r="C61" s="161" t="s">
        <v>1</v>
      </c>
      <c r="D61" s="84" t="s">
        <v>170</v>
      </c>
      <c r="E61" s="84" t="s">
        <v>24</v>
      </c>
      <c r="F61" s="85">
        <v>15000</v>
      </c>
      <c r="G61" s="85"/>
      <c r="H61" s="58"/>
      <c r="I61" s="56"/>
    </row>
    <row r="62" spans="2:12" x14ac:dyDescent="0.25">
      <c r="B62" s="162"/>
      <c r="C62" s="161"/>
      <c r="D62" s="84" t="s">
        <v>171</v>
      </c>
      <c r="E62" s="84" t="s">
        <v>41</v>
      </c>
      <c r="F62" s="85">
        <v>26500</v>
      </c>
      <c r="G62" s="85"/>
      <c r="H62" s="58"/>
      <c r="I62" s="56"/>
    </row>
    <row r="63" spans="2:12" x14ac:dyDescent="0.25">
      <c r="B63" s="162"/>
      <c r="C63" s="161"/>
      <c r="D63" s="84" t="s">
        <v>172</v>
      </c>
      <c r="E63" s="84" t="s">
        <v>41</v>
      </c>
      <c r="F63" s="85">
        <v>26500</v>
      </c>
      <c r="G63" s="85"/>
      <c r="H63" s="58"/>
      <c r="I63" s="56"/>
    </row>
    <row r="65" spans="3:7" ht="18.75" x14ac:dyDescent="0.3">
      <c r="D65" s="33" t="s">
        <v>623</v>
      </c>
      <c r="E65" s="33" t="s">
        <v>193</v>
      </c>
      <c r="F65" s="22" t="s">
        <v>194</v>
      </c>
      <c r="G65" s="22" t="s">
        <v>589</v>
      </c>
    </row>
    <row r="66" spans="3:7" ht="15" customHeight="1" x14ac:dyDescent="0.25">
      <c r="C66" s="102"/>
      <c r="D66" s="5" t="s">
        <v>621</v>
      </c>
      <c r="E66" s="5" t="s">
        <v>41</v>
      </c>
      <c r="F66" s="8">
        <v>29500</v>
      </c>
      <c r="G66" s="8">
        <v>33000</v>
      </c>
    </row>
    <row r="67" spans="3:7" ht="15" customHeight="1" x14ac:dyDescent="0.25">
      <c r="C67" s="102"/>
      <c r="D67" s="5" t="s">
        <v>622</v>
      </c>
      <c r="E67" s="5" t="s">
        <v>41</v>
      </c>
      <c r="F67" s="8">
        <v>28300</v>
      </c>
      <c r="G67" s="8">
        <v>32000</v>
      </c>
    </row>
    <row r="68" spans="3:7" ht="15" customHeight="1" x14ac:dyDescent="0.25">
      <c r="C68" s="102"/>
      <c r="D68" s="1"/>
      <c r="E68" s="1"/>
      <c r="F68" s="37"/>
      <c r="G68" s="37"/>
    </row>
    <row r="69" spans="3:7" ht="15" customHeight="1" x14ac:dyDescent="0.25">
      <c r="C69" s="102"/>
      <c r="D69" s="1"/>
      <c r="E69" s="1"/>
      <c r="F69" s="37"/>
      <c r="G69" s="37"/>
    </row>
  </sheetData>
  <mergeCells count="11">
    <mergeCell ref="C56:C59"/>
    <mergeCell ref="C61:C63"/>
    <mergeCell ref="B61:B63"/>
    <mergeCell ref="B52:B59"/>
    <mergeCell ref="B3:B24"/>
    <mergeCell ref="B25:B45"/>
    <mergeCell ref="C3:C24"/>
    <mergeCell ref="C25:C45"/>
    <mergeCell ref="C47:C50"/>
    <mergeCell ref="B47:B50"/>
    <mergeCell ref="C52:C55"/>
  </mergeCells>
  <pageMargins left="1" right="1" top="1" bottom="1" header="0.5" footer="0.5"/>
  <pageSetup scale="35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/>
  </sheetViews>
  <sheetFormatPr defaultColWidth="11.42578125"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B2:N176"/>
  <sheetViews>
    <sheetView zoomScale="85" zoomScaleNormal="85" workbookViewId="0">
      <selection activeCell="N4" sqref="N4:N7"/>
    </sheetView>
  </sheetViews>
  <sheetFormatPr defaultColWidth="9.140625" defaultRowHeight="15" x14ac:dyDescent="0.25"/>
  <cols>
    <col min="2" max="2" width="20.5703125" bestFit="1" customWidth="1"/>
    <col min="3" max="3" width="14.140625" bestFit="1" customWidth="1"/>
    <col min="4" max="4" width="48.42578125" bestFit="1" customWidth="1"/>
    <col min="5" max="5" width="7.85546875" hidden="1" customWidth="1"/>
    <col min="6" max="6" width="18" hidden="1" customWidth="1"/>
    <col min="7" max="7" width="19.5703125" hidden="1" customWidth="1"/>
    <col min="8" max="9" width="22.28515625" hidden="1" customWidth="1"/>
    <col min="10" max="10" width="2.28515625" hidden="1" customWidth="1"/>
    <col min="11" max="11" width="17.42578125" hidden="1" customWidth="1"/>
    <col min="12" max="12" width="9.140625" hidden="1" customWidth="1"/>
    <col min="13" max="13" width="19.7109375" customWidth="1"/>
    <col min="14" max="14" width="19.5703125" bestFit="1" customWidth="1"/>
  </cols>
  <sheetData>
    <row r="2" spans="2:14" ht="21" x14ac:dyDescent="0.35">
      <c r="B2" s="121" t="s">
        <v>192</v>
      </c>
      <c r="C2" s="121" t="s">
        <v>247</v>
      </c>
      <c r="D2" s="122" t="s">
        <v>248</v>
      </c>
      <c r="E2" s="122" t="s">
        <v>707</v>
      </c>
      <c r="F2" s="123" t="s">
        <v>706</v>
      </c>
      <c r="G2" s="122" t="s">
        <v>708</v>
      </c>
      <c r="H2" s="122" t="s">
        <v>710</v>
      </c>
      <c r="I2" s="122" t="s">
        <v>711</v>
      </c>
      <c r="J2" s="120"/>
      <c r="K2" s="122" t="s">
        <v>709</v>
      </c>
      <c r="M2" s="122" t="s">
        <v>498</v>
      </c>
      <c r="N2" s="122" t="s">
        <v>578</v>
      </c>
    </row>
    <row r="3" spans="2:14" ht="15" customHeight="1" x14ac:dyDescent="0.25">
      <c r="B3" s="140" t="s">
        <v>704</v>
      </c>
      <c r="C3" s="124" t="s">
        <v>1</v>
      </c>
      <c r="D3" s="124" t="s">
        <v>713</v>
      </c>
      <c r="E3" s="124">
        <v>1</v>
      </c>
      <c r="F3" s="125">
        <v>6</v>
      </c>
      <c r="G3" s="126">
        <v>107582</v>
      </c>
      <c r="H3" s="127">
        <f>+G3/F3</f>
        <v>17930.333333333332</v>
      </c>
      <c r="I3" s="126">
        <f>+H3*1.19</f>
        <v>21337.096666666665</v>
      </c>
      <c r="K3" s="10">
        <f>+I3*F3</f>
        <v>128022.57999999999</v>
      </c>
      <c r="L3" s="9"/>
      <c r="M3" s="126">
        <v>23500</v>
      </c>
      <c r="N3" s="126">
        <v>22100</v>
      </c>
    </row>
    <row r="4" spans="2:14" ht="15" customHeight="1" x14ac:dyDescent="0.25">
      <c r="B4" s="140"/>
      <c r="C4" s="124" t="s">
        <v>4</v>
      </c>
      <c r="D4" s="124" t="s">
        <v>714</v>
      </c>
      <c r="E4" s="124">
        <v>1</v>
      </c>
      <c r="F4" s="125">
        <v>6</v>
      </c>
      <c r="G4" s="126">
        <v>84042</v>
      </c>
      <c r="H4" s="127">
        <f t="shared" ref="H4:H19" si="0">+G4/F4</f>
        <v>14007</v>
      </c>
      <c r="I4" s="126">
        <f t="shared" ref="I4:I19" si="1">+H4*1.19</f>
        <v>16668.329999999998</v>
      </c>
      <c r="K4" s="10">
        <f t="shared" ref="K4:K19" si="2">+I4*F4</f>
        <v>100009.97999999998</v>
      </c>
      <c r="L4" s="9"/>
      <c r="M4" s="126">
        <v>18500</v>
      </c>
      <c r="N4" s="126">
        <v>17500</v>
      </c>
    </row>
    <row r="5" spans="2:14" ht="15" customHeight="1" x14ac:dyDescent="0.25">
      <c r="B5" s="140"/>
      <c r="C5" s="124" t="s">
        <v>4</v>
      </c>
      <c r="D5" s="124" t="s">
        <v>715</v>
      </c>
      <c r="E5" s="124">
        <v>1</v>
      </c>
      <c r="F5" s="125">
        <v>6</v>
      </c>
      <c r="G5" s="126">
        <v>88280</v>
      </c>
      <c r="H5" s="127">
        <f t="shared" si="0"/>
        <v>14713.333333333334</v>
      </c>
      <c r="I5" s="126">
        <f t="shared" si="1"/>
        <v>17508.866666666665</v>
      </c>
      <c r="K5" s="10">
        <f t="shared" si="2"/>
        <v>105053.19999999998</v>
      </c>
      <c r="L5" s="9"/>
      <c r="M5" s="126">
        <v>19500</v>
      </c>
      <c r="N5" s="126">
        <v>18500</v>
      </c>
    </row>
    <row r="6" spans="2:14" ht="15" customHeight="1" x14ac:dyDescent="0.25">
      <c r="B6" s="140"/>
      <c r="C6" s="124" t="s">
        <v>4</v>
      </c>
      <c r="D6" s="124" t="s">
        <v>716</v>
      </c>
      <c r="E6" s="124">
        <v>1</v>
      </c>
      <c r="F6" s="125">
        <v>6</v>
      </c>
      <c r="G6" s="126">
        <v>88412</v>
      </c>
      <c r="H6" s="127">
        <f t="shared" si="0"/>
        <v>14735.333333333334</v>
      </c>
      <c r="I6" s="126">
        <f t="shared" si="1"/>
        <v>17535.046666666665</v>
      </c>
      <c r="K6" s="10">
        <f t="shared" si="2"/>
        <v>105210.28</v>
      </c>
      <c r="L6" s="9"/>
      <c r="M6" s="126">
        <v>19500</v>
      </c>
      <c r="N6" s="126">
        <v>18500</v>
      </c>
    </row>
    <row r="7" spans="2:14" ht="15" customHeight="1" x14ac:dyDescent="0.25">
      <c r="B7" s="140"/>
      <c r="C7" s="124" t="s">
        <v>4</v>
      </c>
      <c r="D7" s="124" t="s">
        <v>717</v>
      </c>
      <c r="E7" s="124">
        <v>1</v>
      </c>
      <c r="F7" s="125">
        <v>6</v>
      </c>
      <c r="G7" s="126">
        <v>33597</v>
      </c>
      <c r="H7" s="127">
        <f t="shared" si="0"/>
        <v>5599.5</v>
      </c>
      <c r="I7" s="126">
        <f t="shared" si="1"/>
        <v>6663.4049999999997</v>
      </c>
      <c r="K7" s="10">
        <f t="shared" si="2"/>
        <v>39980.43</v>
      </c>
      <c r="L7" s="9"/>
      <c r="M7" s="126">
        <v>7500</v>
      </c>
      <c r="N7" s="126">
        <v>7000</v>
      </c>
    </row>
    <row r="8" spans="2:14" ht="15" customHeight="1" x14ac:dyDescent="0.25">
      <c r="B8" s="140"/>
      <c r="C8" s="124" t="s">
        <v>1</v>
      </c>
      <c r="D8" s="124" t="s">
        <v>718</v>
      </c>
      <c r="E8" s="124">
        <v>1</v>
      </c>
      <c r="F8" s="125">
        <v>6</v>
      </c>
      <c r="G8" s="126">
        <v>97492</v>
      </c>
      <c r="H8" s="127">
        <f t="shared" si="0"/>
        <v>16248.666666666666</v>
      </c>
      <c r="I8" s="126">
        <f t="shared" si="1"/>
        <v>19335.91333333333</v>
      </c>
      <c r="K8" s="10">
        <f t="shared" si="2"/>
        <v>116015.47999999998</v>
      </c>
      <c r="L8" s="9"/>
      <c r="M8" s="126">
        <v>21500</v>
      </c>
      <c r="N8" s="126">
        <v>20500</v>
      </c>
    </row>
    <row r="9" spans="2:14" ht="15" customHeight="1" x14ac:dyDescent="0.25">
      <c r="B9" s="140"/>
      <c r="C9" s="124" t="s">
        <v>1</v>
      </c>
      <c r="D9" s="124" t="s">
        <v>719</v>
      </c>
      <c r="E9" s="124">
        <v>1</v>
      </c>
      <c r="F9" s="125">
        <v>6</v>
      </c>
      <c r="G9" s="126">
        <v>107582</v>
      </c>
      <c r="H9" s="127">
        <f t="shared" si="0"/>
        <v>17930.333333333332</v>
      </c>
      <c r="I9" s="126">
        <f t="shared" si="1"/>
        <v>21337.096666666665</v>
      </c>
      <c r="K9" s="10">
        <f t="shared" si="2"/>
        <v>128022.57999999999</v>
      </c>
      <c r="L9" s="9"/>
      <c r="M9" s="126">
        <v>23500</v>
      </c>
      <c r="N9" s="126">
        <v>22500</v>
      </c>
    </row>
    <row r="10" spans="2:14" ht="15" customHeight="1" x14ac:dyDescent="0.25">
      <c r="B10" s="140"/>
      <c r="C10" s="124" t="s">
        <v>1</v>
      </c>
      <c r="D10" s="124" t="s">
        <v>720</v>
      </c>
      <c r="E10" s="124">
        <v>1</v>
      </c>
      <c r="F10" s="125">
        <v>6</v>
      </c>
      <c r="G10" s="126">
        <v>107582</v>
      </c>
      <c r="H10" s="127">
        <f t="shared" si="0"/>
        <v>17930.333333333332</v>
      </c>
      <c r="I10" s="126">
        <f t="shared" si="1"/>
        <v>21337.096666666665</v>
      </c>
      <c r="K10" s="10">
        <f t="shared" si="2"/>
        <v>128022.57999999999</v>
      </c>
      <c r="L10" s="9"/>
      <c r="M10" s="126">
        <v>23500</v>
      </c>
      <c r="N10" s="126">
        <v>22500</v>
      </c>
    </row>
    <row r="11" spans="2:14" ht="15" customHeight="1" x14ac:dyDescent="0.25">
      <c r="B11" s="140"/>
      <c r="C11" s="124" t="s">
        <v>1</v>
      </c>
      <c r="D11" s="124" t="s">
        <v>721</v>
      </c>
      <c r="E11" s="124">
        <v>1</v>
      </c>
      <c r="F11" s="125">
        <v>6</v>
      </c>
      <c r="G11" s="126">
        <v>42373</v>
      </c>
      <c r="H11" s="127">
        <f t="shared" si="0"/>
        <v>7062.166666666667</v>
      </c>
      <c r="I11" s="126">
        <f t="shared" si="1"/>
        <v>8403.9783333333326</v>
      </c>
      <c r="K11" s="10">
        <f t="shared" si="2"/>
        <v>50423.869999999995</v>
      </c>
      <c r="L11" s="9"/>
      <c r="M11" s="126">
        <v>9500</v>
      </c>
      <c r="N11" s="126">
        <v>9000</v>
      </c>
    </row>
    <row r="12" spans="2:14" ht="15" customHeight="1" x14ac:dyDescent="0.25">
      <c r="B12" s="140"/>
      <c r="C12" s="124" t="s">
        <v>1</v>
      </c>
      <c r="D12" s="124" t="s">
        <v>722</v>
      </c>
      <c r="E12" s="124">
        <v>1</v>
      </c>
      <c r="F12" s="125">
        <v>6</v>
      </c>
      <c r="G12" s="126">
        <v>131126</v>
      </c>
      <c r="H12" s="127">
        <f t="shared" si="0"/>
        <v>21854.333333333332</v>
      </c>
      <c r="I12" s="126">
        <f t="shared" si="1"/>
        <v>26006.656666666666</v>
      </c>
      <c r="K12" s="10">
        <f t="shared" si="2"/>
        <v>156039.94</v>
      </c>
      <c r="L12" s="9"/>
      <c r="M12" s="126">
        <v>28500</v>
      </c>
      <c r="N12" s="126">
        <v>27000</v>
      </c>
    </row>
    <row r="13" spans="2:14" ht="15" customHeight="1" x14ac:dyDescent="0.25">
      <c r="B13" s="140"/>
      <c r="C13" s="124" t="s">
        <v>4</v>
      </c>
      <c r="D13" s="124" t="s">
        <v>723</v>
      </c>
      <c r="E13" s="124">
        <v>1</v>
      </c>
      <c r="F13" s="125">
        <v>6</v>
      </c>
      <c r="G13" s="126">
        <v>88456</v>
      </c>
      <c r="H13" s="127">
        <f t="shared" si="0"/>
        <v>14742.666666666666</v>
      </c>
      <c r="I13" s="126">
        <f t="shared" si="1"/>
        <v>17543.773333333331</v>
      </c>
      <c r="K13" s="10">
        <f t="shared" si="2"/>
        <v>105262.63999999998</v>
      </c>
      <c r="L13" s="9"/>
      <c r="M13" s="126">
        <v>19500</v>
      </c>
      <c r="N13" s="126">
        <v>18500</v>
      </c>
    </row>
    <row r="14" spans="2:14" ht="15" customHeight="1" x14ac:dyDescent="0.25">
      <c r="B14" s="140"/>
      <c r="C14" s="124" t="s">
        <v>4</v>
      </c>
      <c r="D14" s="124" t="s">
        <v>705</v>
      </c>
      <c r="E14" s="124">
        <v>2</v>
      </c>
      <c r="F14" s="125">
        <v>1</v>
      </c>
      <c r="G14" s="126">
        <v>72090</v>
      </c>
      <c r="H14" s="127">
        <f>+G14/E14</f>
        <v>36045</v>
      </c>
      <c r="I14" s="126">
        <f t="shared" si="1"/>
        <v>42893.549999999996</v>
      </c>
      <c r="K14" s="10">
        <f t="shared" si="2"/>
        <v>42893.549999999996</v>
      </c>
      <c r="L14" s="9"/>
      <c r="M14" s="126">
        <v>47500</v>
      </c>
      <c r="N14" s="126">
        <v>43500</v>
      </c>
    </row>
    <row r="15" spans="2:14" ht="15" customHeight="1" x14ac:dyDescent="0.25">
      <c r="B15" s="140"/>
      <c r="C15" s="124" t="s">
        <v>4</v>
      </c>
      <c r="D15" s="124" t="s">
        <v>724</v>
      </c>
      <c r="E15" s="124">
        <v>1</v>
      </c>
      <c r="F15" s="125">
        <v>6</v>
      </c>
      <c r="G15" s="126">
        <v>88456</v>
      </c>
      <c r="H15" s="127">
        <f t="shared" si="0"/>
        <v>14742.666666666666</v>
      </c>
      <c r="I15" s="126">
        <f t="shared" si="1"/>
        <v>17543.773333333331</v>
      </c>
      <c r="K15" s="10">
        <f t="shared" si="2"/>
        <v>105262.63999999998</v>
      </c>
      <c r="L15" s="9"/>
      <c r="M15" s="126">
        <v>19500</v>
      </c>
      <c r="N15" s="126">
        <v>18500</v>
      </c>
    </row>
    <row r="16" spans="2:14" ht="15" customHeight="1" x14ac:dyDescent="0.25">
      <c r="B16" s="140"/>
      <c r="C16" s="124" t="s">
        <v>4</v>
      </c>
      <c r="D16" s="124" t="s">
        <v>725</v>
      </c>
      <c r="E16" s="124">
        <v>1</v>
      </c>
      <c r="F16" s="125">
        <v>8</v>
      </c>
      <c r="G16" s="126">
        <v>109200</v>
      </c>
      <c r="H16" s="127">
        <f t="shared" si="0"/>
        <v>13650</v>
      </c>
      <c r="I16" s="126">
        <f t="shared" si="1"/>
        <v>16243.5</v>
      </c>
      <c r="K16" s="10">
        <f t="shared" si="2"/>
        <v>129948</v>
      </c>
      <c r="L16" s="9"/>
      <c r="M16" s="126">
        <v>18000</v>
      </c>
      <c r="N16" s="126">
        <v>17500</v>
      </c>
    </row>
    <row r="17" spans="2:14" ht="15" customHeight="1" x14ac:dyDescent="0.25">
      <c r="B17" s="140"/>
      <c r="C17" s="124" t="s">
        <v>4</v>
      </c>
      <c r="D17" s="124" t="s">
        <v>726</v>
      </c>
      <c r="E17" s="124">
        <v>1</v>
      </c>
      <c r="F17" s="125">
        <v>6</v>
      </c>
      <c r="G17" s="126">
        <v>88456</v>
      </c>
      <c r="H17" s="127">
        <f t="shared" si="0"/>
        <v>14742.666666666666</v>
      </c>
      <c r="I17" s="126">
        <f t="shared" si="1"/>
        <v>17543.773333333331</v>
      </c>
      <c r="K17" s="10">
        <f t="shared" si="2"/>
        <v>105262.63999999998</v>
      </c>
      <c r="L17" s="9"/>
      <c r="M17" s="126">
        <v>19500</v>
      </c>
      <c r="N17" s="126">
        <v>18500</v>
      </c>
    </row>
    <row r="18" spans="2:14" ht="15" customHeight="1" x14ac:dyDescent="0.25">
      <c r="B18" s="140"/>
      <c r="C18" s="124" t="s">
        <v>4</v>
      </c>
      <c r="D18" s="124" t="s">
        <v>727</v>
      </c>
      <c r="E18" s="124">
        <v>1</v>
      </c>
      <c r="F18" s="125">
        <v>12</v>
      </c>
      <c r="G18" s="126">
        <v>30085</v>
      </c>
      <c r="H18" s="127">
        <f t="shared" si="0"/>
        <v>2507.0833333333335</v>
      </c>
      <c r="I18" s="126">
        <f t="shared" si="1"/>
        <v>2983.4291666666668</v>
      </c>
      <c r="K18" s="10">
        <f t="shared" si="2"/>
        <v>35801.15</v>
      </c>
      <c r="L18" s="9"/>
      <c r="M18" s="126">
        <v>3500</v>
      </c>
      <c r="N18" s="126">
        <v>3500</v>
      </c>
    </row>
    <row r="19" spans="2:14" ht="15" customHeight="1" x14ac:dyDescent="0.25">
      <c r="B19" s="140"/>
      <c r="C19" s="124" t="s">
        <v>4</v>
      </c>
      <c r="D19" s="124" t="s">
        <v>728</v>
      </c>
      <c r="E19" s="124">
        <v>1</v>
      </c>
      <c r="F19" s="125">
        <v>24</v>
      </c>
      <c r="G19" s="126">
        <v>53742</v>
      </c>
      <c r="H19" s="127">
        <f t="shared" si="0"/>
        <v>2239.25</v>
      </c>
      <c r="I19" s="126">
        <f t="shared" si="1"/>
        <v>2664.7075</v>
      </c>
      <c r="K19" s="10">
        <f t="shared" si="2"/>
        <v>63952.979999999996</v>
      </c>
      <c r="L19" s="9"/>
      <c r="M19" s="126">
        <v>3500</v>
      </c>
      <c r="N19" s="126">
        <v>3500</v>
      </c>
    </row>
    <row r="20" spans="2:14" ht="15" customHeight="1" x14ac:dyDescent="0.25">
      <c r="B20" s="119"/>
      <c r="C20" s="102"/>
      <c r="D20" s="1"/>
      <c r="E20" s="1"/>
      <c r="F20" s="37"/>
      <c r="K20" s="9"/>
      <c r="L20" s="9"/>
      <c r="M20" s="9"/>
      <c r="N20" s="9"/>
    </row>
    <row r="21" spans="2:14" ht="15" customHeight="1" x14ac:dyDescent="0.25">
      <c r="B21" s="119"/>
      <c r="C21" s="102"/>
      <c r="D21" s="1"/>
      <c r="E21" s="1"/>
      <c r="F21" s="37"/>
      <c r="I21" s="2" t="s">
        <v>712</v>
      </c>
      <c r="K21" s="10">
        <f>SUM(K3:K20)</f>
        <v>1645184.5199999996</v>
      </c>
      <c r="L21" s="9"/>
      <c r="M21" s="9"/>
      <c r="N21" s="9"/>
    </row>
    <row r="22" spans="2:14" ht="15" customHeight="1" x14ac:dyDescent="0.25">
      <c r="B22" s="119"/>
      <c r="C22" s="102"/>
      <c r="D22" s="1"/>
      <c r="E22" s="1"/>
      <c r="F22" s="37"/>
    </row>
    <row r="23" spans="2:14" ht="15" customHeight="1" x14ac:dyDescent="0.25">
      <c r="B23" s="119"/>
      <c r="C23" s="102"/>
      <c r="D23" s="1"/>
      <c r="E23" s="1"/>
      <c r="F23" s="37"/>
    </row>
    <row r="24" spans="2:14" ht="15" customHeight="1" x14ac:dyDescent="0.25">
      <c r="B24" s="119"/>
      <c r="C24" s="102"/>
      <c r="D24" s="1"/>
      <c r="E24" s="1"/>
      <c r="F24" s="37"/>
    </row>
    <row r="25" spans="2:14" ht="15" customHeight="1" x14ac:dyDescent="0.25">
      <c r="B25" s="119"/>
      <c r="C25" s="102"/>
      <c r="D25" s="1"/>
      <c r="E25" s="1"/>
      <c r="F25" s="37"/>
    </row>
    <row r="26" spans="2:14" ht="15" customHeight="1" x14ac:dyDescent="0.25">
      <c r="B26" s="119"/>
      <c r="C26" s="102"/>
      <c r="D26" s="1"/>
      <c r="E26" s="1"/>
      <c r="F26" s="37"/>
    </row>
    <row r="27" spans="2:14" ht="15" customHeight="1" x14ac:dyDescent="0.25">
      <c r="B27" s="119"/>
      <c r="C27" s="102"/>
      <c r="D27" s="1"/>
      <c r="E27" s="1"/>
      <c r="F27" s="37"/>
    </row>
    <row r="28" spans="2:14" ht="15" customHeight="1" x14ac:dyDescent="0.25">
      <c r="B28" s="119"/>
      <c r="C28" s="102"/>
      <c r="D28" s="1"/>
      <c r="E28" s="1"/>
      <c r="F28" s="37"/>
    </row>
    <row r="29" spans="2:14" ht="15" customHeight="1" x14ac:dyDescent="0.25">
      <c r="B29" s="119"/>
      <c r="C29" s="102"/>
      <c r="D29" s="1"/>
      <c r="E29" s="1"/>
      <c r="F29" s="37"/>
    </row>
    <row r="30" spans="2:14" ht="15" customHeight="1" x14ac:dyDescent="0.25">
      <c r="B30" s="119"/>
      <c r="C30" s="102"/>
      <c r="D30" s="1"/>
      <c r="E30" s="1"/>
      <c r="F30" s="37"/>
    </row>
    <row r="31" spans="2:14" ht="15" customHeight="1" x14ac:dyDescent="0.25">
      <c r="B31" s="119"/>
      <c r="C31" s="102"/>
      <c r="D31" s="1"/>
      <c r="E31" s="1"/>
      <c r="F31" s="37"/>
    </row>
    <row r="32" spans="2:14" ht="15" customHeight="1" x14ac:dyDescent="0.25">
      <c r="B32" s="119"/>
      <c r="C32" s="102"/>
      <c r="D32" s="1"/>
      <c r="E32" s="1"/>
      <c r="F32" s="37"/>
    </row>
    <row r="33" spans="2:6" ht="15" customHeight="1" x14ac:dyDescent="0.25">
      <c r="B33" s="119"/>
      <c r="C33" s="102"/>
      <c r="D33" s="1"/>
      <c r="E33" s="1"/>
      <c r="F33" s="37"/>
    </row>
    <row r="34" spans="2:6" ht="15" customHeight="1" x14ac:dyDescent="0.25">
      <c r="B34" s="119"/>
      <c r="C34" s="102"/>
      <c r="D34" s="1"/>
      <c r="E34" s="1"/>
      <c r="F34" s="37"/>
    </row>
    <row r="35" spans="2:6" ht="15" customHeight="1" x14ac:dyDescent="0.25">
      <c r="B35" s="119"/>
      <c r="C35" s="102"/>
      <c r="D35" s="1"/>
      <c r="E35" s="1"/>
      <c r="F35" s="37"/>
    </row>
    <row r="36" spans="2:6" ht="15" customHeight="1" x14ac:dyDescent="0.25">
      <c r="B36" s="119"/>
      <c r="C36" s="102"/>
      <c r="D36" s="1"/>
      <c r="E36" s="1"/>
      <c r="F36" s="37"/>
    </row>
    <row r="37" spans="2:6" ht="15" customHeight="1" x14ac:dyDescent="0.25">
      <c r="B37" s="119"/>
      <c r="C37" s="102"/>
      <c r="D37" s="1"/>
      <c r="E37" s="1"/>
      <c r="F37" s="37"/>
    </row>
    <row r="38" spans="2:6" ht="15" customHeight="1" x14ac:dyDescent="0.25">
      <c r="B38" s="119"/>
      <c r="C38" s="102"/>
      <c r="D38" s="1"/>
      <c r="E38" s="1"/>
      <c r="F38" s="37"/>
    </row>
    <row r="39" spans="2:6" ht="15" customHeight="1" x14ac:dyDescent="0.25">
      <c r="B39" s="119"/>
      <c r="C39" s="102"/>
      <c r="D39" s="1"/>
      <c r="E39" s="1"/>
      <c r="F39" s="37"/>
    </row>
    <row r="40" spans="2:6" ht="15" customHeight="1" x14ac:dyDescent="0.25">
      <c r="B40" s="119"/>
      <c r="C40" s="102"/>
      <c r="D40" s="1"/>
      <c r="E40" s="1"/>
      <c r="F40" s="37"/>
    </row>
    <row r="41" spans="2:6" ht="15" customHeight="1" x14ac:dyDescent="0.25">
      <c r="B41" s="119"/>
      <c r="C41" s="102"/>
      <c r="D41" s="1"/>
      <c r="E41" s="1"/>
      <c r="F41" s="37"/>
    </row>
    <row r="42" spans="2:6" ht="15" customHeight="1" x14ac:dyDescent="0.25">
      <c r="B42" s="119"/>
      <c r="C42" s="102"/>
      <c r="D42" s="1"/>
      <c r="E42" s="1"/>
      <c r="F42" s="37"/>
    </row>
    <row r="43" spans="2:6" ht="15" customHeight="1" x14ac:dyDescent="0.25">
      <c r="B43" s="119"/>
      <c r="C43" s="102"/>
      <c r="D43" s="1"/>
      <c r="E43" s="1"/>
      <c r="F43" s="37"/>
    </row>
    <row r="44" spans="2:6" ht="15" customHeight="1" x14ac:dyDescent="0.25">
      <c r="B44" s="119"/>
      <c r="C44" s="102"/>
      <c r="D44" s="1"/>
      <c r="E44" s="1"/>
      <c r="F44" s="37"/>
    </row>
    <row r="45" spans="2:6" ht="15" customHeight="1" x14ac:dyDescent="0.25">
      <c r="B45" s="119"/>
      <c r="C45" s="102"/>
      <c r="D45" s="1"/>
      <c r="E45" s="1"/>
      <c r="F45" s="37"/>
    </row>
    <row r="46" spans="2:6" ht="15" customHeight="1" x14ac:dyDescent="0.25"/>
    <row r="47" spans="2:6" ht="15" customHeight="1" x14ac:dyDescent="0.25">
      <c r="B47" s="119"/>
      <c r="C47" s="102"/>
      <c r="D47" s="1"/>
      <c r="E47" s="1"/>
      <c r="F47" s="37"/>
    </row>
    <row r="48" spans="2:6" ht="15" customHeight="1" x14ac:dyDescent="0.25">
      <c r="B48" s="119"/>
      <c r="C48" s="102"/>
      <c r="D48" s="1"/>
      <c r="E48" s="1"/>
      <c r="F48" s="37"/>
    </row>
    <row r="49" spans="2:6" ht="15" customHeight="1" x14ac:dyDescent="0.25">
      <c r="B49" s="119"/>
      <c r="C49" s="102"/>
      <c r="D49" s="1"/>
      <c r="E49" s="1"/>
      <c r="F49" s="37"/>
    </row>
    <row r="50" spans="2:6" ht="15" customHeight="1" x14ac:dyDescent="0.25">
      <c r="B50" s="119"/>
      <c r="C50" s="102"/>
      <c r="D50" s="1"/>
      <c r="E50" s="1"/>
      <c r="F50" s="37"/>
    </row>
    <row r="51" spans="2:6" ht="15" customHeight="1" x14ac:dyDescent="0.4">
      <c r="B51" s="118"/>
    </row>
    <row r="52" spans="2:6" ht="15" customHeight="1" x14ac:dyDescent="0.25">
      <c r="B52" s="119"/>
      <c r="C52" s="102"/>
      <c r="D52" s="1"/>
      <c r="E52" s="1"/>
      <c r="F52" s="37"/>
    </row>
    <row r="53" spans="2:6" ht="15" customHeight="1" x14ac:dyDescent="0.25">
      <c r="B53" s="119"/>
      <c r="C53" s="102"/>
      <c r="D53" s="1"/>
      <c r="E53" s="1"/>
      <c r="F53" s="37"/>
    </row>
    <row r="54" spans="2:6" ht="15" customHeight="1" x14ac:dyDescent="0.25">
      <c r="B54" s="119"/>
      <c r="C54" s="102"/>
      <c r="D54" s="1"/>
      <c r="E54" s="1"/>
      <c r="F54" s="37"/>
    </row>
    <row r="55" spans="2:6" ht="15" customHeight="1" x14ac:dyDescent="0.25">
      <c r="B55" s="119"/>
      <c r="C55" s="102"/>
      <c r="D55" s="1"/>
      <c r="E55" s="1"/>
      <c r="F55" s="37"/>
    </row>
    <row r="56" spans="2:6" ht="15" customHeight="1" x14ac:dyDescent="0.25">
      <c r="B56" s="119"/>
      <c r="C56" s="102"/>
      <c r="D56" s="1"/>
      <c r="E56" s="1"/>
      <c r="F56" s="37"/>
    </row>
    <row r="57" spans="2:6" ht="15" customHeight="1" x14ac:dyDescent="0.25">
      <c r="B57" s="119"/>
      <c r="C57" s="102"/>
      <c r="D57" s="1"/>
      <c r="E57" s="1"/>
      <c r="F57" s="37"/>
    </row>
    <row r="58" spans="2:6" ht="15" customHeight="1" x14ac:dyDescent="0.25">
      <c r="B58" s="119"/>
      <c r="C58" s="102"/>
      <c r="D58" s="1"/>
      <c r="E58" s="1"/>
      <c r="F58" s="37"/>
    </row>
    <row r="59" spans="2:6" ht="15" customHeight="1" x14ac:dyDescent="0.25">
      <c r="B59" s="119"/>
      <c r="C59" s="102"/>
      <c r="D59" s="1"/>
      <c r="E59" s="1"/>
      <c r="F59" s="37"/>
    </row>
    <row r="60" spans="2:6" ht="15" customHeight="1" x14ac:dyDescent="0.4">
      <c r="B60" s="118"/>
    </row>
    <row r="61" spans="2:6" ht="15" customHeight="1" x14ac:dyDescent="0.25">
      <c r="B61" s="119"/>
      <c r="C61" s="102"/>
      <c r="D61" s="1"/>
      <c r="E61" s="1"/>
      <c r="F61" s="37"/>
    </row>
    <row r="62" spans="2:6" ht="15" customHeight="1" x14ac:dyDescent="0.25">
      <c r="B62" s="119"/>
      <c r="C62" s="102"/>
      <c r="D62" s="1"/>
      <c r="E62" s="1"/>
      <c r="F62" s="37"/>
    </row>
    <row r="63" spans="2:6" ht="15" customHeight="1" x14ac:dyDescent="0.25">
      <c r="B63" s="119"/>
      <c r="C63" s="102"/>
      <c r="D63" s="1"/>
      <c r="E63" s="1"/>
      <c r="F63" s="37"/>
    </row>
    <row r="64" spans="2:6" ht="15" customHeight="1" x14ac:dyDescent="0.25"/>
    <row r="65" spans="3:6" ht="15" customHeight="1" x14ac:dyDescent="0.3">
      <c r="D65" s="35"/>
      <c r="E65" s="35"/>
      <c r="F65" s="82"/>
    </row>
    <row r="66" spans="3:6" ht="15" customHeight="1" x14ac:dyDescent="0.25">
      <c r="C66" s="102"/>
      <c r="D66" s="1"/>
      <c r="E66" s="1"/>
      <c r="F66" s="37"/>
    </row>
    <row r="67" spans="3:6" ht="15" customHeight="1" x14ac:dyDescent="0.25">
      <c r="C67" s="102"/>
      <c r="D67" s="1"/>
      <c r="E67" s="1"/>
      <c r="F67" s="37"/>
    </row>
    <row r="68" spans="3:6" ht="15" customHeight="1" x14ac:dyDescent="0.25">
      <c r="C68" s="102"/>
      <c r="D68" s="1"/>
      <c r="E68" s="1"/>
      <c r="F68" s="37"/>
    </row>
    <row r="69" spans="3:6" ht="15" customHeight="1" x14ac:dyDescent="0.25">
      <c r="C69" s="102"/>
      <c r="D69" s="1"/>
      <c r="E69" s="1"/>
      <c r="F69" s="37"/>
    </row>
    <row r="70" spans="3:6" ht="15" customHeight="1" x14ac:dyDescent="0.25"/>
    <row r="71" spans="3:6" ht="15" customHeight="1" x14ac:dyDescent="0.25"/>
    <row r="72" spans="3:6" ht="15" customHeight="1" x14ac:dyDescent="0.25"/>
    <row r="73" spans="3:6" ht="15" customHeight="1" x14ac:dyDescent="0.25"/>
    <row r="74" spans="3:6" ht="15" customHeight="1" x14ac:dyDescent="0.25"/>
    <row r="75" spans="3:6" ht="15" customHeight="1" x14ac:dyDescent="0.25"/>
    <row r="76" spans="3:6" ht="15" customHeight="1" x14ac:dyDescent="0.25"/>
    <row r="77" spans="3:6" ht="15" customHeight="1" x14ac:dyDescent="0.25"/>
    <row r="78" spans="3:6" ht="15" customHeight="1" x14ac:dyDescent="0.25"/>
    <row r="79" spans="3:6" ht="15" customHeight="1" x14ac:dyDescent="0.25"/>
    <row r="80" spans="3:6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</sheetData>
  <mergeCells count="1">
    <mergeCell ref="B3:B19"/>
  </mergeCells>
  <pageMargins left="1" right="1" top="1" bottom="1" header="0.5" footer="0.5"/>
  <pageSetup scale="87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I33"/>
  <sheetViews>
    <sheetView zoomScaleNormal="100" zoomScaleSheetLayoutView="130" workbookViewId="0">
      <selection activeCell="B17" sqref="B17:G19"/>
    </sheetView>
  </sheetViews>
  <sheetFormatPr defaultColWidth="9.140625" defaultRowHeight="15" x14ac:dyDescent="0.25"/>
  <cols>
    <col min="2" max="2" width="23.28515625" bestFit="1" customWidth="1"/>
    <col min="3" max="3" width="12.5703125" bestFit="1" customWidth="1"/>
    <col min="4" max="4" width="35.28515625" bestFit="1" customWidth="1"/>
    <col min="5" max="5" width="12.85546875" bestFit="1" customWidth="1"/>
    <col min="6" max="6" width="9.5703125" hidden="1" customWidth="1"/>
    <col min="7" max="7" width="13.42578125" customWidth="1"/>
  </cols>
  <sheetData>
    <row r="2" spans="2:9" ht="18.75" x14ac:dyDescent="0.3">
      <c r="B2" s="14" t="s">
        <v>192</v>
      </c>
      <c r="C2" s="14" t="s">
        <v>247</v>
      </c>
      <c r="D2" s="15" t="s">
        <v>248</v>
      </c>
      <c r="E2" s="15" t="s">
        <v>193</v>
      </c>
      <c r="F2" s="68" t="s">
        <v>194</v>
      </c>
      <c r="G2" s="128" t="s">
        <v>578</v>
      </c>
    </row>
    <row r="3" spans="2:9" ht="15" customHeight="1" x14ac:dyDescent="0.25">
      <c r="B3" s="144" t="s">
        <v>117</v>
      </c>
      <c r="C3" s="147" t="s">
        <v>4</v>
      </c>
      <c r="D3" s="5" t="s">
        <v>118</v>
      </c>
      <c r="E3" s="5" t="s">
        <v>3</v>
      </c>
      <c r="F3" s="129">
        <v>18700</v>
      </c>
      <c r="G3" s="6">
        <v>19800</v>
      </c>
    </row>
    <row r="4" spans="2:9" ht="15" customHeight="1" x14ac:dyDescent="0.25">
      <c r="B4" s="145"/>
      <c r="C4" s="148"/>
      <c r="D4" s="5" t="s">
        <v>118</v>
      </c>
      <c r="E4" s="5" t="s">
        <v>8</v>
      </c>
      <c r="F4" s="129">
        <v>32000</v>
      </c>
      <c r="G4" s="6">
        <v>35000</v>
      </c>
    </row>
    <row r="5" spans="2:9" ht="15" customHeight="1" x14ac:dyDescent="0.25">
      <c r="B5" s="145"/>
      <c r="C5" s="148"/>
      <c r="D5" s="5" t="s">
        <v>118</v>
      </c>
      <c r="E5" s="5" t="s">
        <v>47</v>
      </c>
      <c r="F5" s="129">
        <v>9500</v>
      </c>
      <c r="G5" s="6">
        <v>9500</v>
      </c>
    </row>
    <row r="6" spans="2:9" ht="15" customHeight="1" x14ac:dyDescent="0.25">
      <c r="B6" s="145"/>
      <c r="C6" s="148"/>
      <c r="D6" s="5" t="s">
        <v>119</v>
      </c>
      <c r="E6" s="5" t="s">
        <v>8</v>
      </c>
      <c r="F6" s="129">
        <v>31500</v>
      </c>
      <c r="G6" s="6">
        <v>32000</v>
      </c>
    </row>
    <row r="7" spans="2:9" ht="15" customHeight="1" x14ac:dyDescent="0.25">
      <c r="B7" s="145"/>
      <c r="C7" s="148"/>
      <c r="D7" s="5" t="s">
        <v>120</v>
      </c>
      <c r="E7" s="5" t="s">
        <v>3</v>
      </c>
      <c r="F7" s="129">
        <v>18700</v>
      </c>
      <c r="G7" s="6">
        <v>18700</v>
      </c>
    </row>
    <row r="8" spans="2:9" ht="15" customHeight="1" x14ac:dyDescent="0.25">
      <c r="B8" s="145"/>
      <c r="C8" s="148"/>
      <c r="D8" s="5" t="s">
        <v>120</v>
      </c>
      <c r="E8" s="5" t="s">
        <v>47</v>
      </c>
      <c r="F8" s="129">
        <v>9000</v>
      </c>
      <c r="G8" s="6">
        <v>9000</v>
      </c>
    </row>
    <row r="9" spans="2:9" ht="15" customHeight="1" x14ac:dyDescent="0.25">
      <c r="B9" s="145"/>
      <c r="C9" s="148"/>
      <c r="D9" s="5" t="s">
        <v>121</v>
      </c>
      <c r="E9" s="5" t="s">
        <v>8</v>
      </c>
      <c r="F9" s="129">
        <v>38500</v>
      </c>
      <c r="G9" s="6">
        <v>38500</v>
      </c>
      <c r="I9" s="41"/>
    </row>
    <row r="10" spans="2:9" ht="15" customHeight="1" x14ac:dyDescent="0.25">
      <c r="B10" s="145"/>
      <c r="C10" s="148"/>
      <c r="D10" s="5" t="s">
        <v>122</v>
      </c>
      <c r="E10" s="5" t="s">
        <v>3</v>
      </c>
      <c r="F10" s="129">
        <v>22000</v>
      </c>
      <c r="G10" s="6">
        <v>23000</v>
      </c>
    </row>
    <row r="11" spans="2:9" ht="15" customHeight="1" x14ac:dyDescent="0.25">
      <c r="B11" s="145"/>
      <c r="C11" s="148"/>
      <c r="D11" s="5" t="s">
        <v>122</v>
      </c>
      <c r="E11" s="5" t="s">
        <v>47</v>
      </c>
      <c r="F11" s="129">
        <v>10000</v>
      </c>
      <c r="G11" s="6">
        <v>10000</v>
      </c>
    </row>
    <row r="12" spans="2:9" ht="15" customHeight="1" x14ac:dyDescent="0.25">
      <c r="B12" s="145"/>
      <c r="C12" s="148"/>
      <c r="D12" s="5" t="s">
        <v>507</v>
      </c>
      <c r="E12" s="5" t="s">
        <v>3</v>
      </c>
      <c r="F12" s="129">
        <v>22000</v>
      </c>
      <c r="G12" s="6">
        <v>22000</v>
      </c>
    </row>
    <row r="13" spans="2:9" ht="15" customHeight="1" x14ac:dyDescent="0.25">
      <c r="B13" s="145"/>
      <c r="C13" s="149"/>
      <c r="D13" s="5" t="s">
        <v>123</v>
      </c>
      <c r="E13" s="5" t="s">
        <v>8</v>
      </c>
      <c r="F13" s="129">
        <v>37500</v>
      </c>
      <c r="G13" s="6">
        <v>37500</v>
      </c>
    </row>
    <row r="14" spans="2:9" ht="15" customHeight="1" x14ac:dyDescent="0.25">
      <c r="B14" s="145"/>
      <c r="C14" s="147" t="s">
        <v>1</v>
      </c>
      <c r="D14" s="5" t="s">
        <v>124</v>
      </c>
      <c r="E14" s="5" t="s">
        <v>3</v>
      </c>
      <c r="F14" s="129">
        <v>21800</v>
      </c>
      <c r="G14" s="6">
        <v>22900</v>
      </c>
    </row>
    <row r="15" spans="2:9" ht="15" customHeight="1" x14ac:dyDescent="0.25">
      <c r="B15" s="145"/>
      <c r="C15" s="148"/>
      <c r="D15" s="5" t="s">
        <v>730</v>
      </c>
      <c r="E15" s="5" t="s">
        <v>3</v>
      </c>
      <c r="F15" s="129"/>
      <c r="G15" s="6">
        <v>26500</v>
      </c>
    </row>
    <row r="16" spans="2:9" ht="15" customHeight="1" x14ac:dyDescent="0.25">
      <c r="B16" s="146"/>
      <c r="C16" s="149"/>
      <c r="D16" s="5" t="s">
        <v>124</v>
      </c>
      <c r="E16" s="5" t="s">
        <v>125</v>
      </c>
      <c r="F16" s="129">
        <v>6900</v>
      </c>
      <c r="G16" s="6">
        <v>6900</v>
      </c>
    </row>
    <row r="17" spans="2:7" ht="15" customHeight="1" x14ac:dyDescent="0.25">
      <c r="B17" s="144" t="s">
        <v>445</v>
      </c>
      <c r="C17" s="147" t="s">
        <v>4</v>
      </c>
      <c r="D17" s="5" t="s">
        <v>443</v>
      </c>
      <c r="E17" s="5" t="s">
        <v>21</v>
      </c>
      <c r="F17" s="129">
        <v>20500</v>
      </c>
      <c r="G17" s="6">
        <v>20900</v>
      </c>
    </row>
    <row r="18" spans="2:7" ht="15" customHeight="1" x14ac:dyDescent="0.25">
      <c r="B18" s="146"/>
      <c r="C18" s="149"/>
      <c r="D18" s="5" t="s">
        <v>444</v>
      </c>
      <c r="E18" s="5" t="s">
        <v>21</v>
      </c>
      <c r="F18" s="129">
        <v>22500</v>
      </c>
      <c r="G18" s="6">
        <v>22800</v>
      </c>
    </row>
    <row r="19" spans="2:7" ht="15" customHeight="1" x14ac:dyDescent="0.25">
      <c r="B19" s="32"/>
      <c r="C19" s="4" t="s">
        <v>1</v>
      </c>
      <c r="D19" s="5" t="s">
        <v>729</v>
      </c>
      <c r="E19" s="5" t="s">
        <v>3</v>
      </c>
      <c r="F19" s="129"/>
      <c r="G19" s="6">
        <v>16500</v>
      </c>
    </row>
    <row r="21" spans="2:7" x14ac:dyDescent="0.25">
      <c r="D21" s="2" t="s">
        <v>617</v>
      </c>
      <c r="E21" s="2" t="s">
        <v>578</v>
      </c>
    </row>
    <row r="22" spans="2:7" x14ac:dyDescent="0.25">
      <c r="D22" s="5" t="s">
        <v>605</v>
      </c>
      <c r="E22" s="10">
        <v>7300</v>
      </c>
    </row>
    <row r="23" spans="2:7" x14ac:dyDescent="0.25">
      <c r="D23" s="5" t="s">
        <v>606</v>
      </c>
      <c r="E23" s="10">
        <v>5500</v>
      </c>
    </row>
    <row r="24" spans="2:7" x14ac:dyDescent="0.25">
      <c r="D24" s="5" t="s">
        <v>607</v>
      </c>
      <c r="E24" s="10">
        <v>5000</v>
      </c>
    </row>
    <row r="25" spans="2:7" x14ac:dyDescent="0.25">
      <c r="D25" s="5" t="s">
        <v>608</v>
      </c>
      <c r="E25" s="10">
        <v>5800</v>
      </c>
    </row>
    <row r="26" spans="2:7" x14ac:dyDescent="0.25">
      <c r="D26" s="5" t="s">
        <v>609</v>
      </c>
      <c r="E26" s="10">
        <v>7900</v>
      </c>
    </row>
    <row r="27" spans="2:7" x14ac:dyDescent="0.25">
      <c r="D27" s="5" t="s">
        <v>612</v>
      </c>
      <c r="E27" s="10">
        <v>4500</v>
      </c>
    </row>
    <row r="28" spans="2:7" x14ac:dyDescent="0.25">
      <c r="D28" s="5" t="s">
        <v>610</v>
      </c>
      <c r="E28" s="10">
        <v>5900</v>
      </c>
    </row>
    <row r="29" spans="2:7" x14ac:dyDescent="0.25">
      <c r="D29" s="5" t="s">
        <v>611</v>
      </c>
      <c r="E29" s="10">
        <v>10000</v>
      </c>
    </row>
    <row r="30" spans="2:7" x14ac:dyDescent="0.25">
      <c r="D30" s="5" t="s">
        <v>613</v>
      </c>
      <c r="E30" s="10">
        <v>5000</v>
      </c>
    </row>
    <row r="31" spans="2:7" x14ac:dyDescent="0.25">
      <c r="D31" s="5" t="s">
        <v>614</v>
      </c>
      <c r="E31" s="10">
        <v>4700</v>
      </c>
    </row>
    <row r="32" spans="2:7" x14ac:dyDescent="0.25">
      <c r="D32" s="5" t="s">
        <v>615</v>
      </c>
      <c r="E32" s="10">
        <v>4700</v>
      </c>
    </row>
    <row r="33" spans="4:5" x14ac:dyDescent="0.25">
      <c r="D33" s="5" t="s">
        <v>616</v>
      </c>
      <c r="E33" s="10">
        <v>4900</v>
      </c>
    </row>
  </sheetData>
  <mergeCells count="5">
    <mergeCell ref="B3:B16"/>
    <mergeCell ref="B17:B18"/>
    <mergeCell ref="C3:C13"/>
    <mergeCell ref="C14:C16"/>
    <mergeCell ref="C17:C18"/>
  </mergeCells>
  <pageMargins left="0.7" right="0.7" top="0.75" bottom="0.75" header="0.3" footer="0.3"/>
  <pageSetup paperSize="9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H9"/>
  <sheetViews>
    <sheetView workbookViewId="0">
      <selection activeCell="B3" sqref="B3:F9"/>
    </sheetView>
  </sheetViews>
  <sheetFormatPr defaultColWidth="9.140625" defaultRowHeight="15" x14ac:dyDescent="0.25"/>
  <cols>
    <col min="2" max="2" width="14.5703125" bestFit="1" customWidth="1"/>
    <col min="3" max="3" width="12.5703125" bestFit="1" customWidth="1"/>
    <col min="4" max="4" width="40.85546875" bestFit="1" customWidth="1"/>
    <col min="5" max="5" width="12.85546875" bestFit="1" customWidth="1"/>
    <col min="6" max="6" width="13.5703125" bestFit="1" customWidth="1"/>
    <col min="7" max="7" width="22.140625" bestFit="1" customWidth="1"/>
    <col min="8" max="8" width="27.140625" bestFit="1" customWidth="1"/>
  </cols>
  <sheetData>
    <row r="2" spans="2:8" ht="18.75" x14ac:dyDescent="0.3">
      <c r="B2" s="14" t="s">
        <v>192</v>
      </c>
      <c r="C2" s="14" t="s">
        <v>247</v>
      </c>
      <c r="D2" s="15" t="s">
        <v>248</v>
      </c>
      <c r="E2" s="15" t="s">
        <v>193</v>
      </c>
      <c r="F2" s="68" t="s">
        <v>194</v>
      </c>
      <c r="G2" s="16" t="s">
        <v>250</v>
      </c>
      <c r="H2" s="15" t="s">
        <v>251</v>
      </c>
    </row>
    <row r="3" spans="2:8" x14ac:dyDescent="0.25">
      <c r="B3" s="140" t="s">
        <v>42</v>
      </c>
      <c r="C3" s="139" t="s">
        <v>4</v>
      </c>
      <c r="D3" s="5" t="s">
        <v>43</v>
      </c>
      <c r="E3" s="5" t="s">
        <v>8</v>
      </c>
      <c r="F3" s="6">
        <v>25500</v>
      </c>
      <c r="G3" s="2"/>
      <c r="H3" s="2"/>
    </row>
    <row r="4" spans="2:8" x14ac:dyDescent="0.25">
      <c r="B4" s="140"/>
      <c r="C4" s="140"/>
      <c r="D4" s="5" t="s">
        <v>44</v>
      </c>
      <c r="E4" s="5" t="s">
        <v>41</v>
      </c>
      <c r="F4" s="6">
        <v>20500</v>
      </c>
      <c r="G4" s="2"/>
      <c r="H4" s="2"/>
    </row>
    <row r="5" spans="2:8" x14ac:dyDescent="0.25">
      <c r="B5" s="140"/>
      <c r="C5" s="140"/>
      <c r="D5" s="5" t="s">
        <v>45</v>
      </c>
      <c r="E5" s="5" t="s">
        <v>41</v>
      </c>
      <c r="F5" s="6">
        <v>20500</v>
      </c>
      <c r="G5" s="2"/>
      <c r="H5" s="2"/>
    </row>
    <row r="6" spans="2:8" x14ac:dyDescent="0.25">
      <c r="B6" s="140"/>
      <c r="C6" s="140"/>
      <c r="D6" s="5" t="s">
        <v>46</v>
      </c>
      <c r="E6" s="5" t="s">
        <v>24</v>
      </c>
      <c r="F6" s="6">
        <v>15500</v>
      </c>
      <c r="G6" s="2"/>
      <c r="H6" s="2"/>
    </row>
    <row r="7" spans="2:8" x14ac:dyDescent="0.25">
      <c r="B7" s="140"/>
      <c r="C7" s="140"/>
      <c r="D7" s="5" t="s">
        <v>46</v>
      </c>
      <c r="E7" s="5" t="s">
        <v>47</v>
      </c>
      <c r="F7" s="6">
        <v>7000</v>
      </c>
      <c r="G7" s="2"/>
      <c r="H7" s="2"/>
    </row>
    <row r="8" spans="2:8" x14ac:dyDescent="0.25">
      <c r="B8" s="140"/>
      <c r="C8" s="139" t="s">
        <v>1</v>
      </c>
      <c r="D8" s="5" t="s">
        <v>48</v>
      </c>
      <c r="E8" s="5" t="s">
        <v>3</v>
      </c>
      <c r="F8" s="6">
        <v>19800</v>
      </c>
      <c r="G8" s="2"/>
      <c r="H8" s="2"/>
    </row>
    <row r="9" spans="2:8" x14ac:dyDescent="0.25">
      <c r="B9" s="140"/>
      <c r="C9" s="139"/>
      <c r="D9" s="5" t="s">
        <v>48</v>
      </c>
      <c r="E9" s="5" t="s">
        <v>47</v>
      </c>
      <c r="F9" s="6">
        <v>7500</v>
      </c>
      <c r="G9" s="2"/>
      <c r="H9" s="2"/>
    </row>
  </sheetData>
  <mergeCells count="3">
    <mergeCell ref="B3:B9"/>
    <mergeCell ref="C3:C7"/>
    <mergeCell ref="C8:C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4"/>
  <sheetViews>
    <sheetView workbookViewId="0">
      <selection activeCell="I14" sqref="I14"/>
    </sheetView>
  </sheetViews>
  <sheetFormatPr defaultColWidth="9.140625" defaultRowHeight="15" x14ac:dyDescent="0.25"/>
  <cols>
    <col min="2" max="2" width="17.28515625" bestFit="1" customWidth="1"/>
    <col min="3" max="3" width="12.5703125" bestFit="1" customWidth="1"/>
    <col min="4" max="4" width="17" bestFit="1" customWidth="1"/>
    <col min="5" max="5" width="12.85546875" bestFit="1" customWidth="1"/>
    <col min="6" max="7" width="9.5703125" bestFit="1" customWidth="1"/>
    <col min="8" max="8" width="27.140625" bestFit="1" customWidth="1"/>
    <col min="9" max="9" width="11.42578125" bestFit="1" customWidth="1"/>
    <col min="10" max="10" width="7.28515625" bestFit="1" customWidth="1"/>
  </cols>
  <sheetData>
    <row r="2" spans="2:10" ht="18.75" x14ac:dyDescent="0.3">
      <c r="B2" s="14" t="s">
        <v>192</v>
      </c>
      <c r="C2" s="14" t="s">
        <v>247</v>
      </c>
      <c r="D2" s="15" t="s">
        <v>248</v>
      </c>
      <c r="E2" s="15" t="s">
        <v>193</v>
      </c>
      <c r="F2" s="68" t="s">
        <v>194</v>
      </c>
      <c r="G2" s="16" t="s">
        <v>589</v>
      </c>
      <c r="H2" s="15" t="s">
        <v>251</v>
      </c>
    </row>
    <row r="3" spans="2:10" x14ac:dyDescent="0.25">
      <c r="B3" s="140" t="s">
        <v>116</v>
      </c>
      <c r="C3" s="147" t="s">
        <v>1</v>
      </c>
      <c r="D3" s="5" t="s">
        <v>6</v>
      </c>
      <c r="E3" s="5" t="s">
        <v>8</v>
      </c>
      <c r="F3" s="8">
        <v>34500</v>
      </c>
      <c r="G3" s="2"/>
      <c r="H3" s="2"/>
    </row>
    <row r="4" spans="2:10" x14ac:dyDescent="0.25">
      <c r="B4" s="140"/>
      <c r="C4" s="149"/>
      <c r="D4" s="5" t="s">
        <v>110</v>
      </c>
      <c r="E4" s="2" t="s">
        <v>8</v>
      </c>
      <c r="F4" s="8">
        <v>34500</v>
      </c>
      <c r="G4" s="2"/>
      <c r="H4" s="2"/>
    </row>
    <row r="6" spans="2:10" ht="18.75" x14ac:dyDescent="0.3">
      <c r="B6" s="14" t="s">
        <v>192</v>
      </c>
      <c r="C6" s="14" t="s">
        <v>247</v>
      </c>
      <c r="D6" s="15" t="s">
        <v>248</v>
      </c>
      <c r="E6" s="15" t="s">
        <v>193</v>
      </c>
      <c r="F6" s="68" t="s">
        <v>590</v>
      </c>
      <c r="G6" s="16" t="s">
        <v>589</v>
      </c>
      <c r="H6" s="15" t="s">
        <v>251</v>
      </c>
    </row>
    <row r="7" spans="2:10" x14ac:dyDescent="0.25">
      <c r="B7" s="140" t="s">
        <v>132</v>
      </c>
      <c r="C7" s="147" t="s">
        <v>4</v>
      </c>
      <c r="D7" s="5" t="s">
        <v>6</v>
      </c>
      <c r="E7" s="5" t="s">
        <v>67</v>
      </c>
      <c r="F7" s="8">
        <v>35000</v>
      </c>
      <c r="G7" s="10">
        <v>38000</v>
      </c>
      <c r="H7" s="2"/>
    </row>
    <row r="8" spans="2:10" x14ac:dyDescent="0.25">
      <c r="B8" s="140"/>
      <c r="C8" s="148"/>
      <c r="D8" s="5" t="s">
        <v>133</v>
      </c>
      <c r="E8" s="5" t="s">
        <v>67</v>
      </c>
      <c r="F8" s="8">
        <v>38000</v>
      </c>
      <c r="G8" s="10">
        <v>38000</v>
      </c>
      <c r="H8" s="2"/>
    </row>
    <row r="9" spans="2:10" x14ac:dyDescent="0.25">
      <c r="B9" s="140"/>
      <c r="C9" s="148"/>
      <c r="D9" s="5" t="s">
        <v>134</v>
      </c>
      <c r="E9" s="5" t="s">
        <v>67</v>
      </c>
      <c r="F9" s="8">
        <v>38000</v>
      </c>
      <c r="G9" s="10">
        <v>40000</v>
      </c>
      <c r="H9" s="2"/>
    </row>
    <row r="10" spans="2:10" x14ac:dyDescent="0.25">
      <c r="B10" s="140"/>
      <c r="C10" s="149"/>
      <c r="D10" s="5" t="s">
        <v>38</v>
      </c>
      <c r="E10" s="2" t="s">
        <v>67</v>
      </c>
      <c r="F10" s="8">
        <v>38000</v>
      </c>
      <c r="G10" s="10">
        <v>40000</v>
      </c>
      <c r="H10" s="2"/>
    </row>
    <row r="12" spans="2:10" x14ac:dyDescent="0.25">
      <c r="B12" s="140" t="s">
        <v>142</v>
      </c>
      <c r="C12" s="139" t="s">
        <v>1</v>
      </c>
      <c r="D12" s="5" t="s">
        <v>107</v>
      </c>
      <c r="E12" s="2" t="s">
        <v>3</v>
      </c>
      <c r="F12" s="8">
        <v>23500</v>
      </c>
      <c r="G12" s="2" t="s">
        <v>664</v>
      </c>
      <c r="H12" s="2" t="s">
        <v>668</v>
      </c>
      <c r="I12" s="2" t="s">
        <v>667</v>
      </c>
      <c r="J12" s="2" t="s">
        <v>666</v>
      </c>
    </row>
    <row r="13" spans="2:10" x14ac:dyDescent="0.25">
      <c r="B13" s="142"/>
      <c r="C13" s="142"/>
      <c r="D13" s="5" t="s">
        <v>37</v>
      </c>
      <c r="E13" s="2" t="s">
        <v>3</v>
      </c>
      <c r="F13" s="8">
        <v>23500</v>
      </c>
      <c r="G13" s="2"/>
      <c r="H13" s="2"/>
    </row>
    <row r="14" spans="2:10" x14ac:dyDescent="0.25">
      <c r="B14" s="142"/>
      <c r="C14" s="142"/>
      <c r="D14" s="5" t="s">
        <v>110</v>
      </c>
      <c r="E14" s="2" t="s">
        <v>3</v>
      </c>
      <c r="F14" s="8">
        <v>23500</v>
      </c>
      <c r="G14" s="2"/>
      <c r="H14" s="2"/>
    </row>
  </sheetData>
  <mergeCells count="6">
    <mergeCell ref="B3:B4"/>
    <mergeCell ref="C3:C4"/>
    <mergeCell ref="B7:B10"/>
    <mergeCell ref="C7:C10"/>
    <mergeCell ref="B12:B14"/>
    <mergeCell ref="C12:C1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H4"/>
  <sheetViews>
    <sheetView view="pageBreakPreview" zoomScaleNormal="100" zoomScaleSheetLayoutView="100" workbookViewId="0">
      <selection activeCell="D3" sqref="B3:F4"/>
    </sheetView>
  </sheetViews>
  <sheetFormatPr defaultColWidth="9.140625" defaultRowHeight="15" x14ac:dyDescent="0.25"/>
  <cols>
    <col min="2" max="2" width="15.140625" bestFit="1" customWidth="1"/>
    <col min="3" max="3" width="12.5703125" bestFit="1" customWidth="1"/>
    <col min="4" max="4" width="28.140625" bestFit="1" customWidth="1"/>
    <col min="5" max="5" width="12.85546875" bestFit="1" customWidth="1"/>
    <col min="6" max="6" width="13.5703125" bestFit="1" customWidth="1"/>
    <col min="7" max="7" width="22.140625" bestFit="1" customWidth="1"/>
    <col min="8" max="8" width="27.140625" bestFit="1" customWidth="1"/>
  </cols>
  <sheetData>
    <row r="2" spans="2:8" ht="18.75" x14ac:dyDescent="0.3">
      <c r="B2" s="14" t="s">
        <v>192</v>
      </c>
      <c r="C2" s="14" t="s">
        <v>247</v>
      </c>
      <c r="D2" s="15" t="s">
        <v>248</v>
      </c>
      <c r="E2" s="15" t="s">
        <v>193</v>
      </c>
      <c r="F2" s="68" t="s">
        <v>194</v>
      </c>
      <c r="G2" s="16" t="s">
        <v>250</v>
      </c>
      <c r="H2" s="15" t="s">
        <v>251</v>
      </c>
    </row>
    <row r="3" spans="2:8" x14ac:dyDescent="0.25">
      <c r="B3" s="140" t="s">
        <v>126</v>
      </c>
      <c r="C3" s="139" t="s">
        <v>4</v>
      </c>
      <c r="D3" s="5" t="s">
        <v>127</v>
      </c>
      <c r="E3" s="5" t="s">
        <v>3</v>
      </c>
      <c r="F3" s="8">
        <v>21500</v>
      </c>
      <c r="G3" s="2"/>
      <c r="H3" s="2"/>
    </row>
    <row r="4" spans="2:8" x14ac:dyDescent="0.25">
      <c r="B4" s="140"/>
      <c r="C4" s="139"/>
      <c r="D4" s="5" t="s">
        <v>128</v>
      </c>
      <c r="E4" s="5" t="s">
        <v>41</v>
      </c>
      <c r="F4" s="8">
        <v>25000</v>
      </c>
      <c r="G4" s="2"/>
      <c r="H4" s="2"/>
    </row>
  </sheetData>
  <mergeCells count="2">
    <mergeCell ref="B3:B4"/>
    <mergeCell ref="C3:C4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"/>
  <sheetViews>
    <sheetView workbookViewId="0"/>
  </sheetViews>
  <sheetFormatPr defaultColWidth="11.42578125" defaultRowHeight="15" x14ac:dyDescent="0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0000"/>
  </sheetPr>
  <dimension ref="B2:H17"/>
  <sheetViews>
    <sheetView zoomScaleNormal="100" workbookViewId="0">
      <selection activeCell="B3" sqref="B3:F10"/>
    </sheetView>
  </sheetViews>
  <sheetFormatPr defaultColWidth="9.140625" defaultRowHeight="15" x14ac:dyDescent="0.25"/>
  <cols>
    <col min="2" max="2" width="15.140625" bestFit="1" customWidth="1"/>
    <col min="3" max="3" width="26" bestFit="1" customWidth="1"/>
    <col min="4" max="4" width="20.85546875" bestFit="1" customWidth="1"/>
    <col min="5" max="5" width="12.85546875" bestFit="1" customWidth="1"/>
    <col min="6" max="6" width="13.5703125" bestFit="1" customWidth="1"/>
    <col min="7" max="7" width="22.140625" bestFit="1" customWidth="1"/>
    <col min="8" max="8" width="27.140625" bestFit="1" customWidth="1"/>
  </cols>
  <sheetData>
    <row r="2" spans="2:8" ht="18.75" x14ac:dyDescent="0.3">
      <c r="B2" s="14" t="s">
        <v>192</v>
      </c>
      <c r="C2" s="14" t="s">
        <v>247</v>
      </c>
      <c r="D2" s="15" t="s">
        <v>248</v>
      </c>
      <c r="E2" s="15" t="s">
        <v>193</v>
      </c>
      <c r="F2" s="68" t="s">
        <v>194</v>
      </c>
      <c r="G2" s="16" t="s">
        <v>250</v>
      </c>
      <c r="H2" s="15" t="s">
        <v>251</v>
      </c>
    </row>
    <row r="3" spans="2:8" x14ac:dyDescent="0.25">
      <c r="B3" s="140" t="s">
        <v>135</v>
      </c>
      <c r="C3" s="139" t="s">
        <v>4</v>
      </c>
      <c r="D3" s="5" t="s">
        <v>136</v>
      </c>
      <c r="E3" s="2" t="s">
        <v>8</v>
      </c>
      <c r="F3" s="8">
        <v>40000</v>
      </c>
      <c r="G3" s="2"/>
      <c r="H3" s="2"/>
    </row>
    <row r="4" spans="2:8" x14ac:dyDescent="0.25">
      <c r="B4" s="140"/>
      <c r="C4" s="139"/>
      <c r="D4" s="5" t="s">
        <v>136</v>
      </c>
      <c r="E4" s="2" t="s">
        <v>3</v>
      </c>
      <c r="F4" s="8"/>
      <c r="G4" s="2"/>
      <c r="H4" s="2"/>
    </row>
    <row r="5" spans="2:8" x14ac:dyDescent="0.25">
      <c r="B5" s="140"/>
      <c r="C5" s="139"/>
      <c r="D5" s="5" t="s">
        <v>137</v>
      </c>
      <c r="E5" s="2" t="s">
        <v>3</v>
      </c>
      <c r="F5" s="8">
        <v>23000</v>
      </c>
      <c r="G5" s="2"/>
      <c r="H5" s="2"/>
    </row>
    <row r="6" spans="2:8" x14ac:dyDescent="0.25">
      <c r="B6" s="140"/>
      <c r="C6" s="139"/>
      <c r="D6" s="5" t="s">
        <v>138</v>
      </c>
      <c r="E6" s="2" t="s">
        <v>8</v>
      </c>
      <c r="F6" s="8">
        <v>42000</v>
      </c>
      <c r="G6" s="2"/>
      <c r="H6" s="2"/>
    </row>
    <row r="7" spans="2:8" x14ac:dyDescent="0.25">
      <c r="B7" s="140"/>
      <c r="C7" s="139"/>
      <c r="D7" s="5" t="s">
        <v>138</v>
      </c>
      <c r="E7" s="2" t="s">
        <v>3</v>
      </c>
      <c r="F7" s="8"/>
      <c r="G7" s="2"/>
      <c r="H7" s="2"/>
    </row>
    <row r="8" spans="2:8" x14ac:dyDescent="0.25">
      <c r="B8" s="140"/>
      <c r="C8" s="139"/>
      <c r="D8" s="5" t="s">
        <v>139</v>
      </c>
      <c r="E8" s="2" t="s">
        <v>3</v>
      </c>
      <c r="F8" s="8">
        <v>26000</v>
      </c>
      <c r="G8" s="2"/>
      <c r="H8" s="2"/>
    </row>
    <row r="9" spans="2:8" x14ac:dyDescent="0.25">
      <c r="B9" s="140"/>
      <c r="C9" s="139"/>
      <c r="D9" s="5" t="s">
        <v>140</v>
      </c>
      <c r="E9" s="2" t="s">
        <v>3</v>
      </c>
      <c r="F9" s="8">
        <v>26000</v>
      </c>
      <c r="G9" s="2"/>
      <c r="H9" s="2"/>
    </row>
    <row r="10" spans="2:8" x14ac:dyDescent="0.25">
      <c r="B10" s="140"/>
      <c r="C10" s="139"/>
      <c r="D10" s="5" t="s">
        <v>141</v>
      </c>
      <c r="E10" s="2" t="s">
        <v>8</v>
      </c>
      <c r="F10" s="8">
        <v>45000</v>
      </c>
      <c r="G10" s="2"/>
      <c r="H10" s="2"/>
    </row>
    <row r="14" spans="2:8" x14ac:dyDescent="0.25">
      <c r="E14" s="46"/>
    </row>
    <row r="15" spans="2:8" x14ac:dyDescent="0.25">
      <c r="E15" s="46"/>
    </row>
    <row r="16" spans="2:8" x14ac:dyDescent="0.25">
      <c r="E16" s="46"/>
    </row>
    <row r="17" spans="5:5" x14ac:dyDescent="0.25">
      <c r="E17" s="46"/>
    </row>
  </sheetData>
  <mergeCells count="2">
    <mergeCell ref="B3:B10"/>
    <mergeCell ref="C3:C10"/>
  </mergeCells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</sheetPr>
  <dimension ref="B1:K26"/>
  <sheetViews>
    <sheetView zoomScale="85" zoomScaleNormal="85" workbookViewId="0">
      <selection activeCell="F3" sqref="F3:F19"/>
    </sheetView>
  </sheetViews>
  <sheetFormatPr defaultColWidth="9.140625" defaultRowHeight="15" x14ac:dyDescent="0.25"/>
  <cols>
    <col min="2" max="2" width="72" customWidth="1"/>
    <col min="3" max="3" width="8.85546875" hidden="1" customWidth="1"/>
    <col min="4" max="4" width="11.42578125" hidden="1" customWidth="1"/>
    <col min="5" max="5" width="11.28515625" hidden="1" customWidth="1"/>
    <col min="6" max="6" width="15.28515625" bestFit="1" customWidth="1"/>
    <col min="7" max="7" width="18.140625" bestFit="1" customWidth="1"/>
  </cols>
  <sheetData>
    <row r="1" spans="2:7" x14ac:dyDescent="0.25">
      <c r="F1">
        <v>1.1000000000000001</v>
      </c>
    </row>
    <row r="2" spans="2:7" x14ac:dyDescent="0.25">
      <c r="B2" s="25" t="s">
        <v>672</v>
      </c>
      <c r="C2" s="25" t="s">
        <v>673</v>
      </c>
      <c r="D2" s="25" t="s">
        <v>674</v>
      </c>
      <c r="E2" s="25" t="s">
        <v>675</v>
      </c>
      <c r="F2" s="25" t="s">
        <v>676</v>
      </c>
      <c r="G2" s="25" t="s">
        <v>677</v>
      </c>
    </row>
    <row r="3" spans="2:7" ht="15" customHeight="1" x14ac:dyDescent="0.25">
      <c r="B3" s="2" t="s">
        <v>678</v>
      </c>
      <c r="C3" s="2">
        <v>5</v>
      </c>
      <c r="D3" s="10">
        <v>13805</v>
      </c>
      <c r="E3" s="10">
        <f t="shared" ref="E3:E24" si="0">+D3*1.19</f>
        <v>16427.95</v>
      </c>
      <c r="F3" s="10">
        <v>18000</v>
      </c>
      <c r="G3" s="10">
        <v>19700</v>
      </c>
    </row>
    <row r="4" spans="2:7" ht="15" customHeight="1" x14ac:dyDescent="0.25">
      <c r="B4" s="2" t="s">
        <v>679</v>
      </c>
      <c r="C4" s="2">
        <v>5</v>
      </c>
      <c r="D4" s="10">
        <v>40651</v>
      </c>
      <c r="E4" s="10">
        <f t="shared" si="0"/>
        <v>48374.689999999995</v>
      </c>
      <c r="F4" s="10">
        <v>52000</v>
      </c>
      <c r="G4" s="10">
        <v>54500</v>
      </c>
    </row>
    <row r="5" spans="2:7" ht="15" customHeight="1" x14ac:dyDescent="0.25">
      <c r="B5" s="2" t="s">
        <v>680</v>
      </c>
      <c r="C5" s="2">
        <v>5</v>
      </c>
      <c r="D5" s="10">
        <v>40651</v>
      </c>
      <c r="E5" s="10">
        <f t="shared" si="0"/>
        <v>48374.689999999995</v>
      </c>
      <c r="F5" s="10">
        <v>52000</v>
      </c>
      <c r="G5" s="10">
        <v>54500</v>
      </c>
    </row>
    <row r="6" spans="2:7" ht="15" customHeight="1" x14ac:dyDescent="0.25">
      <c r="B6" s="2" t="s">
        <v>681</v>
      </c>
      <c r="C6" s="2">
        <v>5</v>
      </c>
      <c r="D6" s="10">
        <v>13805</v>
      </c>
      <c r="E6" s="10">
        <f t="shared" si="0"/>
        <v>16427.95</v>
      </c>
      <c r="F6" s="10">
        <v>18000</v>
      </c>
      <c r="G6" s="10">
        <v>19000</v>
      </c>
    </row>
    <row r="7" spans="2:7" ht="15" customHeight="1" x14ac:dyDescent="0.25">
      <c r="B7" s="2" t="s">
        <v>682</v>
      </c>
      <c r="C7" s="2">
        <v>5</v>
      </c>
      <c r="D7" s="10">
        <v>13805</v>
      </c>
      <c r="E7" s="10">
        <f t="shared" si="0"/>
        <v>16427.95</v>
      </c>
      <c r="F7" s="10">
        <v>18000</v>
      </c>
      <c r="G7" s="10">
        <v>19000</v>
      </c>
    </row>
    <row r="8" spans="2:7" ht="15" customHeight="1" x14ac:dyDescent="0.25">
      <c r="B8" s="2" t="s">
        <v>683</v>
      </c>
      <c r="C8" s="2">
        <v>4</v>
      </c>
      <c r="D8" s="10">
        <v>15104</v>
      </c>
      <c r="E8" s="10">
        <f t="shared" si="0"/>
        <v>17973.759999999998</v>
      </c>
      <c r="F8" s="10">
        <v>19000</v>
      </c>
      <c r="G8" s="10">
        <v>20000</v>
      </c>
    </row>
    <row r="9" spans="2:7" ht="15" customHeight="1" x14ac:dyDescent="0.25">
      <c r="B9" s="2" t="s">
        <v>684</v>
      </c>
      <c r="C9" s="2">
        <v>4</v>
      </c>
      <c r="D9" s="10">
        <v>40651</v>
      </c>
      <c r="E9" s="10">
        <f t="shared" si="0"/>
        <v>48374.689999999995</v>
      </c>
      <c r="F9" s="10">
        <v>52000</v>
      </c>
      <c r="G9" s="10">
        <v>54500</v>
      </c>
    </row>
    <row r="10" spans="2:7" ht="15" customHeight="1" x14ac:dyDescent="0.25">
      <c r="B10" s="2" t="s">
        <v>685</v>
      </c>
      <c r="C10" s="2">
        <v>9</v>
      </c>
      <c r="D10" s="10">
        <v>15104</v>
      </c>
      <c r="E10" s="10">
        <f t="shared" si="0"/>
        <v>17973.759999999998</v>
      </c>
      <c r="F10" s="10">
        <v>19000</v>
      </c>
      <c r="G10" s="10">
        <v>20000</v>
      </c>
    </row>
    <row r="11" spans="2:7" ht="15" customHeight="1" x14ac:dyDescent="0.25">
      <c r="B11" s="2" t="s">
        <v>686</v>
      </c>
      <c r="C11" s="2">
        <v>9</v>
      </c>
      <c r="D11" s="10">
        <v>40651</v>
      </c>
      <c r="E11" s="10">
        <f t="shared" si="0"/>
        <v>48374.689999999995</v>
      </c>
      <c r="F11" s="10">
        <v>52000</v>
      </c>
      <c r="G11" s="10">
        <v>54500</v>
      </c>
    </row>
    <row r="12" spans="2:7" ht="15" customHeight="1" x14ac:dyDescent="0.25">
      <c r="B12" s="2" t="s">
        <v>687</v>
      </c>
      <c r="C12" s="2">
        <v>10</v>
      </c>
      <c r="D12" s="10">
        <v>13805</v>
      </c>
      <c r="E12" s="10">
        <f t="shared" si="0"/>
        <v>16427.95</v>
      </c>
      <c r="F12" s="10">
        <v>18000</v>
      </c>
      <c r="G12" s="10">
        <v>19000</v>
      </c>
    </row>
    <row r="13" spans="2:7" ht="15" customHeight="1" x14ac:dyDescent="0.25">
      <c r="B13" s="2" t="s">
        <v>688</v>
      </c>
      <c r="C13" s="2">
        <v>15</v>
      </c>
      <c r="D13" s="10">
        <v>40651</v>
      </c>
      <c r="E13" s="10">
        <f t="shared" si="0"/>
        <v>48374.689999999995</v>
      </c>
      <c r="F13" s="10">
        <v>52000</v>
      </c>
      <c r="G13" s="10">
        <v>54500</v>
      </c>
    </row>
    <row r="14" spans="2:7" ht="15" customHeight="1" x14ac:dyDescent="0.25">
      <c r="B14" s="2" t="s">
        <v>689</v>
      </c>
      <c r="C14" s="2">
        <v>5</v>
      </c>
      <c r="D14" s="10">
        <v>8130</v>
      </c>
      <c r="E14" s="10">
        <v>1612</v>
      </c>
      <c r="F14" s="114">
        <v>1770</v>
      </c>
      <c r="G14" s="114">
        <v>1950</v>
      </c>
    </row>
    <row r="15" spans="2:7" ht="15" customHeight="1" x14ac:dyDescent="0.25">
      <c r="B15" s="2" t="s">
        <v>690</v>
      </c>
      <c r="C15" s="2">
        <v>25</v>
      </c>
      <c r="D15" s="10">
        <v>13805</v>
      </c>
      <c r="E15" s="10">
        <f t="shared" si="0"/>
        <v>16427.95</v>
      </c>
      <c r="F15" s="10">
        <v>18000</v>
      </c>
      <c r="G15" s="10">
        <v>19000</v>
      </c>
    </row>
    <row r="16" spans="2:7" ht="15" customHeight="1" x14ac:dyDescent="0.25">
      <c r="B16" s="2" t="s">
        <v>691</v>
      </c>
      <c r="C16" s="2">
        <v>30</v>
      </c>
      <c r="D16" s="10">
        <v>13805</v>
      </c>
      <c r="E16" s="10">
        <f t="shared" si="0"/>
        <v>16427.95</v>
      </c>
      <c r="F16" s="10">
        <v>18000</v>
      </c>
      <c r="G16" s="10">
        <v>19000</v>
      </c>
    </row>
    <row r="17" spans="2:11" ht="15" customHeight="1" x14ac:dyDescent="0.25">
      <c r="B17" s="2" t="s">
        <v>692</v>
      </c>
      <c r="C17" s="2">
        <v>20</v>
      </c>
      <c r="D17" s="10">
        <v>40651</v>
      </c>
      <c r="E17" s="10">
        <f t="shared" si="0"/>
        <v>48374.689999999995</v>
      </c>
      <c r="F17" s="10">
        <v>52000</v>
      </c>
      <c r="G17" s="10">
        <v>54500</v>
      </c>
    </row>
    <row r="18" spans="2:11" ht="15" customHeight="1" x14ac:dyDescent="0.25">
      <c r="B18" s="2" t="s">
        <v>693</v>
      </c>
      <c r="C18" s="2">
        <v>30</v>
      </c>
      <c r="D18" s="10">
        <v>13805</v>
      </c>
      <c r="E18" s="10">
        <f t="shared" si="0"/>
        <v>16427.95</v>
      </c>
      <c r="F18" s="10">
        <v>18000</v>
      </c>
      <c r="G18" s="10">
        <v>19000</v>
      </c>
    </row>
    <row r="19" spans="2:11" ht="15" customHeight="1" x14ac:dyDescent="0.25">
      <c r="B19" s="2" t="s">
        <v>694</v>
      </c>
      <c r="C19" s="2">
        <v>20</v>
      </c>
      <c r="D19" s="10">
        <v>40651</v>
      </c>
      <c r="E19" s="10">
        <f t="shared" si="0"/>
        <v>48374.689999999995</v>
      </c>
      <c r="F19" s="10">
        <v>52000</v>
      </c>
      <c r="G19" s="10">
        <v>54500</v>
      </c>
    </row>
    <row r="20" spans="2:11" ht="15" customHeight="1" x14ac:dyDescent="0.25">
      <c r="B20" s="2" t="s">
        <v>695</v>
      </c>
      <c r="C20" s="2">
        <v>3</v>
      </c>
      <c r="D20" s="10">
        <v>47262</v>
      </c>
      <c r="E20" s="10">
        <f t="shared" si="0"/>
        <v>56241.78</v>
      </c>
      <c r="F20" s="10">
        <v>59000</v>
      </c>
      <c r="G20" s="10">
        <v>62000</v>
      </c>
    </row>
    <row r="21" spans="2:11" ht="15" customHeight="1" x14ac:dyDescent="0.25">
      <c r="B21" s="2" t="s">
        <v>696</v>
      </c>
      <c r="C21" s="2">
        <v>2</v>
      </c>
      <c r="D21" s="10">
        <v>37809</v>
      </c>
      <c r="E21" s="10">
        <f t="shared" si="0"/>
        <v>44992.71</v>
      </c>
      <c r="F21" s="10">
        <v>47500</v>
      </c>
      <c r="G21" s="10">
        <v>52000</v>
      </c>
    </row>
    <row r="22" spans="2:11" ht="15" customHeight="1" x14ac:dyDescent="0.25">
      <c r="B22" s="2" t="s">
        <v>697</v>
      </c>
      <c r="C22" s="2">
        <v>5</v>
      </c>
      <c r="D22" s="10">
        <v>37809</v>
      </c>
      <c r="E22" s="10">
        <f t="shared" si="0"/>
        <v>44992.71</v>
      </c>
      <c r="F22" s="10">
        <v>47500</v>
      </c>
      <c r="G22" s="10">
        <v>52000</v>
      </c>
      <c r="K22">
        <f>16500+20000+8500</f>
        <v>45000</v>
      </c>
    </row>
    <row r="23" spans="2:11" ht="15" customHeight="1" x14ac:dyDescent="0.25">
      <c r="B23" s="2" t="s">
        <v>698</v>
      </c>
      <c r="C23" s="2">
        <v>2</v>
      </c>
      <c r="D23" s="10">
        <v>37809</v>
      </c>
      <c r="E23" s="10">
        <f t="shared" si="0"/>
        <v>44992.71</v>
      </c>
      <c r="F23" s="10">
        <v>47500</v>
      </c>
      <c r="G23" s="10">
        <v>52000</v>
      </c>
    </row>
    <row r="24" spans="2:11" ht="15" customHeight="1" x14ac:dyDescent="0.25">
      <c r="B24" s="2" t="s">
        <v>699</v>
      </c>
      <c r="C24" s="2">
        <v>5</v>
      </c>
      <c r="D24" s="10">
        <v>12599</v>
      </c>
      <c r="E24" s="10">
        <f t="shared" si="0"/>
        <v>14992.81</v>
      </c>
      <c r="F24" s="10">
        <v>16500</v>
      </c>
      <c r="G24" s="10">
        <v>18000</v>
      </c>
    </row>
    <row r="25" spans="2:11" ht="15" customHeight="1" x14ac:dyDescent="0.25">
      <c r="B25" s="2" t="s">
        <v>700</v>
      </c>
      <c r="C25" s="2">
        <v>5</v>
      </c>
      <c r="D25" s="10">
        <v>8130</v>
      </c>
      <c r="E25" s="10">
        <v>1612</v>
      </c>
      <c r="F25" s="114">
        <v>1770</v>
      </c>
      <c r="G25" s="114">
        <v>1950</v>
      </c>
    </row>
    <row r="26" spans="2:11" ht="15" customHeight="1" x14ac:dyDescent="0.25">
      <c r="B26" s="2" t="s">
        <v>701</v>
      </c>
      <c r="C26" s="2">
        <v>5</v>
      </c>
      <c r="D26" s="10">
        <v>8130</v>
      </c>
      <c r="E26" s="10">
        <v>1612</v>
      </c>
      <c r="F26" s="114">
        <v>1770</v>
      </c>
      <c r="G26" s="114">
        <v>1950</v>
      </c>
    </row>
  </sheetData>
  <pageMargins left="0.7" right="0.7" top="0.75" bottom="0.75" header="0.3" footer="0.3"/>
  <pageSetup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B2:R64"/>
  <sheetViews>
    <sheetView topLeftCell="A22" zoomScaleNormal="100" workbookViewId="0">
      <selection activeCell="F54" sqref="F54"/>
    </sheetView>
  </sheetViews>
  <sheetFormatPr defaultColWidth="9.140625" defaultRowHeight="15" x14ac:dyDescent="0.25"/>
  <cols>
    <col min="2" max="2" width="11.5703125" bestFit="1" customWidth="1"/>
    <col min="3" max="3" width="20.7109375" customWidth="1"/>
    <col min="4" max="4" width="11.140625" bestFit="1" customWidth="1"/>
    <col min="5" max="5" width="18.28515625" customWidth="1"/>
    <col min="6" max="6" width="19.7109375" customWidth="1"/>
    <col min="7" max="7" width="10.42578125" bestFit="1" customWidth="1"/>
    <col min="12" max="12" width="9.28515625" style="9" bestFit="1" customWidth="1"/>
    <col min="13" max="13" width="9.42578125" style="9" bestFit="1" customWidth="1"/>
    <col min="14" max="16" width="9.42578125" bestFit="1" customWidth="1"/>
  </cols>
  <sheetData>
    <row r="2" spans="2:18" ht="15.75" x14ac:dyDescent="0.25">
      <c r="B2" s="25" t="s">
        <v>192</v>
      </c>
      <c r="C2" s="25" t="s">
        <v>280</v>
      </c>
      <c r="D2" s="47" t="s">
        <v>193</v>
      </c>
      <c r="E2" s="69" t="s">
        <v>194</v>
      </c>
    </row>
    <row r="4" spans="2:18" x14ac:dyDescent="0.25">
      <c r="B4" s="2" t="s">
        <v>281</v>
      </c>
      <c r="C4" s="2" t="s">
        <v>282</v>
      </c>
      <c r="D4" s="2">
        <v>2</v>
      </c>
      <c r="E4" s="26">
        <v>1750</v>
      </c>
    </row>
    <row r="5" spans="2:18" x14ac:dyDescent="0.25">
      <c r="B5" s="2" t="s">
        <v>281</v>
      </c>
      <c r="C5" s="2" t="s">
        <v>283</v>
      </c>
      <c r="D5" s="2">
        <v>2</v>
      </c>
      <c r="E5" s="26">
        <v>1750</v>
      </c>
    </row>
    <row r="6" spans="2:18" x14ac:dyDescent="0.25">
      <c r="B6" s="2" t="s">
        <v>281</v>
      </c>
      <c r="C6" s="2" t="s">
        <v>284</v>
      </c>
      <c r="D6" s="2">
        <v>4</v>
      </c>
      <c r="E6" s="26">
        <v>3500</v>
      </c>
    </row>
    <row r="7" spans="2:18" x14ac:dyDescent="0.25">
      <c r="B7" s="2" t="s">
        <v>281</v>
      </c>
      <c r="C7" s="2" t="s">
        <v>284</v>
      </c>
      <c r="D7" s="2">
        <v>5</v>
      </c>
      <c r="E7" s="26">
        <v>4500</v>
      </c>
      <c r="F7" t="s">
        <v>473</v>
      </c>
      <c r="G7" s="9">
        <v>3500</v>
      </c>
    </row>
    <row r="8" spans="2:18" x14ac:dyDescent="0.25">
      <c r="B8" s="2" t="s">
        <v>281</v>
      </c>
      <c r="C8" s="2" t="s">
        <v>282</v>
      </c>
      <c r="D8" s="2">
        <v>10</v>
      </c>
      <c r="E8" s="26">
        <v>8000</v>
      </c>
    </row>
    <row r="9" spans="2:18" x14ac:dyDescent="0.25">
      <c r="B9" s="2" t="s">
        <v>281</v>
      </c>
      <c r="C9" s="2" t="s">
        <v>283</v>
      </c>
      <c r="D9" s="2">
        <v>10</v>
      </c>
      <c r="E9" s="26">
        <v>8000</v>
      </c>
    </row>
    <row r="10" spans="2:18" x14ac:dyDescent="0.25">
      <c r="B10" s="2" t="s">
        <v>281</v>
      </c>
      <c r="C10" s="2" t="s">
        <v>282</v>
      </c>
      <c r="D10" s="2">
        <v>20</v>
      </c>
      <c r="E10" s="26">
        <v>15000</v>
      </c>
      <c r="F10" s="45">
        <v>45987</v>
      </c>
      <c r="L10" s="9">
        <v>16500</v>
      </c>
      <c r="M10" s="9">
        <v>8</v>
      </c>
      <c r="N10" s="41">
        <f>+L10*M10</f>
        <v>132000</v>
      </c>
      <c r="O10" s="41">
        <v>11400</v>
      </c>
      <c r="P10" s="41">
        <f>+N10-O10</f>
        <v>120600</v>
      </c>
      <c r="Q10" s="41">
        <v>8</v>
      </c>
      <c r="R10" s="41">
        <f>+P10/Q10</f>
        <v>15075</v>
      </c>
    </row>
    <row r="11" spans="2:18" x14ac:dyDescent="0.25">
      <c r="B11" s="2" t="s">
        <v>281</v>
      </c>
      <c r="C11" s="2" t="s">
        <v>283</v>
      </c>
      <c r="D11" s="2">
        <v>20</v>
      </c>
      <c r="E11" s="26">
        <v>15000</v>
      </c>
      <c r="F11" s="45">
        <v>45988</v>
      </c>
      <c r="L11" s="9">
        <v>16500</v>
      </c>
    </row>
    <row r="12" spans="2:18" x14ac:dyDescent="0.25">
      <c r="B12" s="2" t="s">
        <v>285</v>
      </c>
      <c r="C12" s="2" t="s">
        <v>286</v>
      </c>
      <c r="D12" s="2">
        <v>10</v>
      </c>
      <c r="E12" s="26">
        <v>10000</v>
      </c>
    </row>
    <row r="14" spans="2:18" hidden="1" x14ac:dyDescent="0.25">
      <c r="B14" s="104" t="s">
        <v>287</v>
      </c>
      <c r="C14" s="20" t="s">
        <v>282</v>
      </c>
      <c r="D14" s="20">
        <v>20</v>
      </c>
      <c r="E14" s="105">
        <v>11000</v>
      </c>
    </row>
    <row r="15" spans="2:18" hidden="1" x14ac:dyDescent="0.25">
      <c r="B15" s="104" t="s">
        <v>287</v>
      </c>
      <c r="C15" s="20" t="s">
        <v>283</v>
      </c>
      <c r="D15" s="20">
        <v>20</v>
      </c>
      <c r="E15" s="105">
        <v>11000</v>
      </c>
      <c r="G15">
        <f>20*1800</f>
        <v>36000</v>
      </c>
    </row>
    <row r="16" spans="2:18" hidden="1" x14ac:dyDescent="0.25">
      <c r="B16" s="104" t="s">
        <v>287</v>
      </c>
      <c r="C16" s="20" t="s">
        <v>289</v>
      </c>
      <c r="D16" s="20">
        <v>2</v>
      </c>
      <c r="E16" s="105">
        <v>1800</v>
      </c>
      <c r="I16">
        <v>1800</v>
      </c>
      <c r="J16">
        <v>16</v>
      </c>
      <c r="K16">
        <f>+J16*I16</f>
        <v>28800</v>
      </c>
    </row>
    <row r="17" spans="2:7" hidden="1" x14ac:dyDescent="0.25">
      <c r="B17" s="104" t="s">
        <v>287</v>
      </c>
      <c r="C17" s="20" t="s">
        <v>284</v>
      </c>
      <c r="D17" s="20">
        <v>4</v>
      </c>
      <c r="E17" s="105">
        <v>3500</v>
      </c>
    </row>
    <row r="18" spans="2:7" hidden="1" x14ac:dyDescent="0.25">
      <c r="B18" s="104" t="s">
        <v>287</v>
      </c>
      <c r="C18" s="20" t="s">
        <v>284</v>
      </c>
      <c r="D18" s="20">
        <v>8</v>
      </c>
      <c r="E18" s="105">
        <v>6500</v>
      </c>
    </row>
    <row r="19" spans="2:7" hidden="1" x14ac:dyDescent="0.25">
      <c r="B19" s="20" t="s">
        <v>288</v>
      </c>
      <c r="C19" s="20" t="s">
        <v>289</v>
      </c>
      <c r="D19" s="20">
        <v>20</v>
      </c>
      <c r="E19" s="105">
        <v>11000</v>
      </c>
    </row>
    <row r="20" spans="2:7" hidden="1" x14ac:dyDescent="0.25"/>
    <row r="21" spans="2:7" x14ac:dyDescent="0.25">
      <c r="B21" s="11" t="s">
        <v>290</v>
      </c>
      <c r="C21" s="2" t="s">
        <v>291</v>
      </c>
      <c r="D21" s="2">
        <v>10</v>
      </c>
      <c r="E21" s="26">
        <v>6500</v>
      </c>
    </row>
    <row r="22" spans="2:7" x14ac:dyDescent="0.25">
      <c r="B22" s="11" t="s">
        <v>290</v>
      </c>
      <c r="C22" s="2" t="s">
        <v>283</v>
      </c>
      <c r="D22" s="2">
        <v>10</v>
      </c>
      <c r="E22" s="26">
        <v>6500</v>
      </c>
    </row>
    <row r="24" spans="2:7" x14ac:dyDescent="0.25">
      <c r="B24" s="2" t="s">
        <v>292</v>
      </c>
      <c r="C24" s="2" t="s">
        <v>293</v>
      </c>
      <c r="D24" s="2">
        <v>8.6</v>
      </c>
      <c r="E24" s="26">
        <v>5500</v>
      </c>
    </row>
    <row r="26" spans="2:7" x14ac:dyDescent="0.25">
      <c r="B26" s="11" t="s">
        <v>294</v>
      </c>
      <c r="C26" s="2" t="s">
        <v>282</v>
      </c>
      <c r="D26" s="2">
        <v>2</v>
      </c>
      <c r="E26" s="110" t="s">
        <v>663</v>
      </c>
      <c r="F26" s="26">
        <v>1400</v>
      </c>
      <c r="G26" s="45">
        <v>46242</v>
      </c>
    </row>
    <row r="27" spans="2:7" x14ac:dyDescent="0.25">
      <c r="B27" s="11" t="s">
        <v>294</v>
      </c>
      <c r="C27" s="2" t="s">
        <v>283</v>
      </c>
      <c r="D27" s="2">
        <v>2</v>
      </c>
      <c r="E27" s="110" t="s">
        <v>663</v>
      </c>
      <c r="F27" s="26">
        <v>1400</v>
      </c>
    </row>
    <row r="28" spans="2:7" x14ac:dyDescent="0.25">
      <c r="B28" s="11" t="s">
        <v>294</v>
      </c>
      <c r="C28" s="2" t="s">
        <v>295</v>
      </c>
      <c r="D28" s="2">
        <v>8</v>
      </c>
      <c r="E28" s="110" t="s">
        <v>663</v>
      </c>
      <c r="F28" s="26">
        <v>4500</v>
      </c>
    </row>
    <row r="29" spans="2:7" x14ac:dyDescent="0.25">
      <c r="B29" s="11" t="s">
        <v>294</v>
      </c>
      <c r="C29" s="2" t="s">
        <v>433</v>
      </c>
      <c r="D29" s="2">
        <v>10</v>
      </c>
      <c r="E29" s="26">
        <v>6750</v>
      </c>
      <c r="F29" s="26"/>
    </row>
    <row r="30" spans="2:7" x14ac:dyDescent="0.25">
      <c r="B30" s="11" t="s">
        <v>294</v>
      </c>
      <c r="C30" s="2" t="s">
        <v>282</v>
      </c>
      <c r="D30" s="2">
        <v>20</v>
      </c>
      <c r="E30" s="26">
        <v>11000</v>
      </c>
    </row>
    <row r="31" spans="2:7" x14ac:dyDescent="0.25">
      <c r="B31" s="11" t="s">
        <v>294</v>
      </c>
      <c r="C31" s="2" t="s">
        <v>283</v>
      </c>
      <c r="D31" s="2">
        <v>20</v>
      </c>
      <c r="E31" s="26">
        <v>11000</v>
      </c>
    </row>
    <row r="33" spans="2:9" x14ac:dyDescent="0.25">
      <c r="B33" s="163" t="s">
        <v>275</v>
      </c>
      <c r="C33" s="2" t="s">
        <v>283</v>
      </c>
      <c r="D33" s="2">
        <v>2</v>
      </c>
      <c r="E33" s="26">
        <v>2200</v>
      </c>
    </row>
    <row r="34" spans="2:9" x14ac:dyDescent="0.25">
      <c r="B34" s="163"/>
      <c r="C34" s="2" t="s">
        <v>291</v>
      </c>
      <c r="D34" s="2">
        <v>2</v>
      </c>
      <c r="E34" s="26">
        <v>2200</v>
      </c>
    </row>
    <row r="35" spans="2:9" x14ac:dyDescent="0.25">
      <c r="B35" s="163"/>
      <c r="C35" s="2" t="s">
        <v>296</v>
      </c>
      <c r="D35" s="2">
        <v>2</v>
      </c>
      <c r="E35" s="26">
        <v>2200</v>
      </c>
    </row>
    <row r="36" spans="2:9" x14ac:dyDescent="0.25">
      <c r="B36" s="163"/>
      <c r="C36" s="2" t="s">
        <v>283</v>
      </c>
      <c r="D36" s="2">
        <v>4</v>
      </c>
      <c r="E36" s="26">
        <v>4000</v>
      </c>
    </row>
    <row r="37" spans="2:9" x14ac:dyDescent="0.25">
      <c r="B37" s="163"/>
      <c r="C37" s="2" t="s">
        <v>291</v>
      </c>
      <c r="D37" s="2">
        <v>4</v>
      </c>
      <c r="E37" s="26">
        <v>4000</v>
      </c>
    </row>
    <row r="38" spans="2:9" x14ac:dyDescent="0.25">
      <c r="B38" s="163"/>
      <c r="C38" s="2" t="s">
        <v>296</v>
      </c>
      <c r="D38" s="2">
        <v>4</v>
      </c>
      <c r="E38" s="26">
        <v>4000</v>
      </c>
    </row>
    <row r="39" spans="2:9" x14ac:dyDescent="0.25">
      <c r="B39" s="163"/>
      <c r="C39" s="2" t="s">
        <v>283</v>
      </c>
      <c r="D39" s="2">
        <v>10</v>
      </c>
      <c r="E39" s="26">
        <v>11000</v>
      </c>
    </row>
    <row r="40" spans="2:9" x14ac:dyDescent="0.25">
      <c r="B40" s="163"/>
      <c r="C40" s="2" t="s">
        <v>291</v>
      </c>
      <c r="D40" s="2">
        <v>10</v>
      </c>
      <c r="E40" s="26">
        <v>11000</v>
      </c>
    </row>
    <row r="41" spans="2:9" x14ac:dyDescent="0.25">
      <c r="B41" s="163"/>
      <c r="C41" s="2" t="s">
        <v>296</v>
      </c>
      <c r="D41" s="2">
        <v>10</v>
      </c>
      <c r="E41" s="26">
        <v>11000</v>
      </c>
    </row>
    <row r="42" spans="2:9" x14ac:dyDescent="0.25">
      <c r="B42" s="163"/>
      <c r="C42" s="2" t="s">
        <v>286</v>
      </c>
      <c r="D42" s="2">
        <v>10</v>
      </c>
      <c r="E42" s="26">
        <v>14000</v>
      </c>
    </row>
    <row r="44" spans="2:9" x14ac:dyDescent="0.25">
      <c r="B44" s="11" t="s">
        <v>297</v>
      </c>
      <c r="C44" s="2" t="s">
        <v>298</v>
      </c>
      <c r="D44" s="2">
        <v>8.5</v>
      </c>
      <c r="E44" s="26">
        <v>5650</v>
      </c>
    </row>
    <row r="45" spans="2:9" x14ac:dyDescent="0.25">
      <c r="B45" s="11" t="s">
        <v>297</v>
      </c>
      <c r="C45" s="2" t="s">
        <v>286</v>
      </c>
      <c r="D45" s="2">
        <v>8.5</v>
      </c>
      <c r="E45" s="26">
        <v>5650</v>
      </c>
    </row>
    <row r="47" spans="2:9" x14ac:dyDescent="0.25">
      <c r="B47" s="2" t="s">
        <v>506</v>
      </c>
      <c r="C47" s="2" t="s">
        <v>289</v>
      </c>
      <c r="D47" s="2">
        <v>10</v>
      </c>
      <c r="E47" s="26">
        <v>5200</v>
      </c>
      <c r="I47">
        <f>2300*1.19</f>
        <v>2737</v>
      </c>
    </row>
    <row r="48" spans="2:9" x14ac:dyDescent="0.25">
      <c r="B48" s="2" t="s">
        <v>506</v>
      </c>
      <c r="C48" s="2" t="s">
        <v>289</v>
      </c>
      <c r="D48" s="2">
        <v>20</v>
      </c>
      <c r="E48" s="26">
        <v>10000</v>
      </c>
    </row>
    <row r="49" spans="2:6" ht="15.75" thickBot="1" x14ac:dyDescent="0.3"/>
    <row r="50" spans="2:6" x14ac:dyDescent="0.25">
      <c r="B50" s="70" t="s">
        <v>192</v>
      </c>
      <c r="C50" s="71" t="s">
        <v>280</v>
      </c>
      <c r="D50" s="72" t="s">
        <v>193</v>
      </c>
      <c r="E50" s="75" t="s">
        <v>590</v>
      </c>
      <c r="F50" s="76" t="s">
        <v>589</v>
      </c>
    </row>
    <row r="51" spans="2:6" ht="15.75" thickBot="1" x14ac:dyDescent="0.3">
      <c r="B51" s="73" t="s">
        <v>586</v>
      </c>
      <c r="C51" s="74" t="s">
        <v>587</v>
      </c>
      <c r="D51" s="74" t="s">
        <v>588</v>
      </c>
      <c r="E51" s="78">
        <v>2900</v>
      </c>
      <c r="F51" s="77">
        <v>3700</v>
      </c>
    </row>
    <row r="53" spans="2:6" x14ac:dyDescent="0.25">
      <c r="B53" s="11" t="s">
        <v>287</v>
      </c>
      <c r="C53" s="2" t="s">
        <v>282</v>
      </c>
      <c r="D53" s="2">
        <v>20</v>
      </c>
      <c r="E53" s="26">
        <v>12000</v>
      </c>
    </row>
    <row r="54" spans="2:6" x14ac:dyDescent="0.25">
      <c r="B54" s="11" t="s">
        <v>287</v>
      </c>
      <c r="C54" s="2" t="s">
        <v>660</v>
      </c>
      <c r="D54" s="2">
        <v>20</v>
      </c>
      <c r="E54" s="26">
        <v>12000</v>
      </c>
    </row>
    <row r="55" spans="2:6" x14ac:dyDescent="0.25">
      <c r="B55" s="11" t="s">
        <v>287</v>
      </c>
      <c r="C55" s="2" t="s">
        <v>289</v>
      </c>
      <c r="D55" s="2">
        <v>2</v>
      </c>
      <c r="E55" s="26">
        <v>1800</v>
      </c>
    </row>
    <row r="56" spans="2:6" x14ac:dyDescent="0.25">
      <c r="B56" s="11" t="s">
        <v>287</v>
      </c>
      <c r="C56" s="2" t="s">
        <v>659</v>
      </c>
      <c r="D56" s="2">
        <v>4</v>
      </c>
      <c r="E56" s="26">
        <v>3500</v>
      </c>
    </row>
    <row r="57" spans="2:6" x14ac:dyDescent="0.25">
      <c r="B57" s="11" t="s">
        <v>287</v>
      </c>
      <c r="C57" s="2" t="s">
        <v>289</v>
      </c>
      <c r="D57" s="2">
        <v>8</v>
      </c>
      <c r="E57" s="26">
        <v>6500</v>
      </c>
    </row>
    <row r="60" spans="2:6" x14ac:dyDescent="0.25">
      <c r="B60" s="11" t="s">
        <v>287</v>
      </c>
      <c r="C60" s="2" t="s">
        <v>282</v>
      </c>
      <c r="D60" s="2" t="s">
        <v>8</v>
      </c>
      <c r="E60" s="10">
        <v>16000</v>
      </c>
      <c r="F60" s="164" t="s">
        <v>627</v>
      </c>
    </row>
    <row r="61" spans="2:6" x14ac:dyDescent="0.25">
      <c r="B61" s="11" t="s">
        <v>287</v>
      </c>
      <c r="C61" s="2" t="s">
        <v>283</v>
      </c>
      <c r="D61" s="2" t="s">
        <v>8</v>
      </c>
      <c r="E61" s="10">
        <v>16000</v>
      </c>
      <c r="F61" s="165"/>
    </row>
    <row r="62" spans="2:6" x14ac:dyDescent="0.25">
      <c r="B62" s="11" t="s">
        <v>287</v>
      </c>
      <c r="C62" s="2" t="s">
        <v>293</v>
      </c>
      <c r="D62" s="2" t="s">
        <v>8</v>
      </c>
      <c r="E62" s="10">
        <v>16000</v>
      </c>
      <c r="F62" s="165"/>
    </row>
    <row r="63" spans="2:6" x14ac:dyDescent="0.25">
      <c r="B63" s="11" t="s">
        <v>287</v>
      </c>
      <c r="C63" s="2" t="s">
        <v>626</v>
      </c>
      <c r="D63" s="2" t="s">
        <v>8</v>
      </c>
      <c r="E63" s="10">
        <v>16000</v>
      </c>
      <c r="F63" s="166"/>
    </row>
    <row r="64" spans="2:6" x14ac:dyDescent="0.25">
      <c r="E64" s="9"/>
    </row>
  </sheetData>
  <mergeCells count="2">
    <mergeCell ref="B33:B42"/>
    <mergeCell ref="F60:F63"/>
  </mergeCells>
  <pageMargins left="0.7" right="0.7" top="0.75" bottom="0.75" header="0.3" footer="0.3"/>
  <pageSetup paperSize="9" scale="43" fitToHeight="0"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H128"/>
  <sheetViews>
    <sheetView topLeftCell="A76" zoomScale="62" zoomScaleNormal="62" workbookViewId="0">
      <selection activeCell="B105" sqref="B105:D108"/>
    </sheetView>
  </sheetViews>
  <sheetFormatPr defaultColWidth="11.42578125" defaultRowHeight="23.25" x14ac:dyDescent="0.35"/>
  <cols>
    <col min="2" max="2" width="74.85546875" bestFit="1" customWidth="1"/>
    <col min="3" max="3" width="19.5703125" bestFit="1" customWidth="1"/>
    <col min="4" max="4" width="22" style="28" bestFit="1" customWidth="1"/>
    <col min="5" max="5" width="51.5703125" bestFit="1" customWidth="1"/>
    <col min="6" max="6" width="17.140625" bestFit="1" customWidth="1"/>
    <col min="7" max="7" width="42" bestFit="1" customWidth="1"/>
  </cols>
  <sheetData>
    <row r="2" spans="2:8" x14ac:dyDescent="0.35">
      <c r="B2" s="136" t="s">
        <v>299</v>
      </c>
      <c r="C2" s="136"/>
      <c r="D2" s="136"/>
    </row>
    <row r="3" spans="2:8" x14ac:dyDescent="0.35">
      <c r="B3" s="133" t="s">
        <v>617</v>
      </c>
      <c r="C3" s="134" t="s">
        <v>578</v>
      </c>
      <c r="D3" s="133" t="s">
        <v>498</v>
      </c>
    </row>
    <row r="4" spans="2:8" x14ac:dyDescent="0.35">
      <c r="B4" s="29" t="s">
        <v>300</v>
      </c>
      <c r="C4" s="31">
        <v>11300</v>
      </c>
      <c r="D4" s="31">
        <v>13000</v>
      </c>
      <c r="E4" s="35"/>
      <c r="G4" s="131" t="s">
        <v>300</v>
      </c>
      <c r="H4" s="132">
        <v>12000</v>
      </c>
    </row>
    <row r="5" spans="2:8" x14ac:dyDescent="0.35">
      <c r="B5" s="29" t="s">
        <v>301</v>
      </c>
      <c r="C5" s="31">
        <v>12000</v>
      </c>
      <c r="D5" s="31">
        <v>14000</v>
      </c>
      <c r="E5" s="35"/>
      <c r="G5" s="131" t="s">
        <v>301</v>
      </c>
      <c r="H5" s="132">
        <v>13000</v>
      </c>
    </row>
    <row r="6" spans="2:8" x14ac:dyDescent="0.35">
      <c r="B6" s="29" t="s">
        <v>302</v>
      </c>
      <c r="C6" s="31">
        <v>13800</v>
      </c>
      <c r="D6" s="31">
        <v>15500</v>
      </c>
      <c r="E6" s="35"/>
      <c r="G6" s="131" t="s">
        <v>302</v>
      </c>
      <c r="H6" s="132">
        <v>15000</v>
      </c>
    </row>
    <row r="7" spans="2:8" x14ac:dyDescent="0.35">
      <c r="B7" s="29" t="s">
        <v>303</v>
      </c>
      <c r="C7" s="31">
        <v>18000</v>
      </c>
      <c r="D7" s="31">
        <v>20000</v>
      </c>
      <c r="E7" s="35"/>
      <c r="G7" s="131" t="s">
        <v>303</v>
      </c>
      <c r="H7" s="132">
        <v>19000</v>
      </c>
    </row>
    <row r="8" spans="2:8" x14ac:dyDescent="0.35">
      <c r="B8" s="29" t="s">
        <v>474</v>
      </c>
      <c r="C8" s="31">
        <v>4900</v>
      </c>
      <c r="D8" s="31">
        <v>6000</v>
      </c>
      <c r="E8" s="35"/>
      <c r="G8" s="131" t="s">
        <v>474</v>
      </c>
      <c r="H8" s="132">
        <v>4800</v>
      </c>
    </row>
    <row r="9" spans="2:8" x14ac:dyDescent="0.35">
      <c r="B9" s="29" t="s">
        <v>475</v>
      </c>
      <c r="C9" s="31">
        <v>5200</v>
      </c>
      <c r="D9" s="31">
        <v>7000</v>
      </c>
      <c r="E9" s="35"/>
      <c r="G9" s="131" t="s">
        <v>475</v>
      </c>
      <c r="H9" s="132">
        <v>5200</v>
      </c>
    </row>
    <row r="10" spans="2:8" x14ac:dyDescent="0.35">
      <c r="B10" s="29" t="s">
        <v>476</v>
      </c>
      <c r="C10" s="31">
        <v>5800</v>
      </c>
      <c r="D10" s="31">
        <v>7500</v>
      </c>
      <c r="E10" s="35"/>
      <c r="G10" s="131" t="s">
        <v>476</v>
      </c>
      <c r="H10" s="132">
        <v>6200</v>
      </c>
    </row>
    <row r="11" spans="2:8" x14ac:dyDescent="0.35">
      <c r="B11" s="29" t="s">
        <v>477</v>
      </c>
      <c r="C11" s="31">
        <v>8500</v>
      </c>
      <c r="D11" s="31">
        <v>11000</v>
      </c>
      <c r="E11" s="35"/>
      <c r="G11" s="131" t="s">
        <v>477</v>
      </c>
      <c r="H11" s="132">
        <v>7000</v>
      </c>
    </row>
    <row r="12" spans="2:8" x14ac:dyDescent="0.35">
      <c r="B12" s="28"/>
      <c r="C12" s="90"/>
      <c r="D12" s="90"/>
    </row>
    <row r="13" spans="2:8" x14ac:dyDescent="0.35">
      <c r="B13" s="29" t="s">
        <v>316</v>
      </c>
      <c r="C13" s="31">
        <v>11500</v>
      </c>
      <c r="D13" s="31">
        <v>14000</v>
      </c>
      <c r="G13" s="132" t="s">
        <v>316</v>
      </c>
      <c r="H13" s="132">
        <v>11900</v>
      </c>
    </row>
    <row r="14" spans="2:8" x14ac:dyDescent="0.35">
      <c r="B14" s="29" t="s">
        <v>746</v>
      </c>
      <c r="C14" s="31">
        <v>9500</v>
      </c>
      <c r="D14" s="31">
        <v>12000</v>
      </c>
      <c r="F14">
        <f>5*23000</f>
        <v>115000</v>
      </c>
      <c r="G14" s="131" t="s">
        <v>745</v>
      </c>
      <c r="H14" s="132"/>
    </row>
    <row r="15" spans="2:8" x14ac:dyDescent="0.35">
      <c r="B15" s="29" t="s">
        <v>747</v>
      </c>
      <c r="C15" s="31">
        <v>6200</v>
      </c>
      <c r="D15" s="31">
        <v>8000</v>
      </c>
      <c r="G15" s="41"/>
    </row>
    <row r="16" spans="2:8" x14ac:dyDescent="0.35">
      <c r="B16" s="29" t="s">
        <v>748</v>
      </c>
      <c r="C16" s="31">
        <v>7500</v>
      </c>
      <c r="D16" s="31">
        <v>9000</v>
      </c>
      <c r="G16" s="41"/>
    </row>
    <row r="17" spans="2:7" x14ac:dyDescent="0.35">
      <c r="B17" s="29" t="s">
        <v>749</v>
      </c>
      <c r="C17" s="31">
        <v>8500</v>
      </c>
      <c r="D17" s="31">
        <v>10000</v>
      </c>
      <c r="G17" s="41"/>
    </row>
    <row r="18" spans="2:7" x14ac:dyDescent="0.35">
      <c r="B18" s="29" t="s">
        <v>750</v>
      </c>
      <c r="C18" s="31">
        <v>9300</v>
      </c>
      <c r="D18" s="31">
        <v>11000</v>
      </c>
      <c r="G18" s="41"/>
    </row>
    <row r="19" spans="2:7" x14ac:dyDescent="0.35">
      <c r="B19" s="28"/>
      <c r="C19" s="27"/>
      <c r="D19" s="27"/>
      <c r="G19" s="41"/>
    </row>
    <row r="20" spans="2:7" x14ac:dyDescent="0.35">
      <c r="B20" s="29" t="s">
        <v>304</v>
      </c>
      <c r="C20" s="31">
        <v>5300</v>
      </c>
      <c r="D20" s="27"/>
    </row>
    <row r="21" spans="2:7" x14ac:dyDescent="0.35">
      <c r="B21" s="29" t="s">
        <v>305</v>
      </c>
      <c r="C21" s="31">
        <v>11900</v>
      </c>
      <c r="D21" s="27"/>
    </row>
    <row r="22" spans="2:7" x14ac:dyDescent="0.35">
      <c r="B22" s="28"/>
      <c r="C22" s="90"/>
      <c r="D22" s="27"/>
    </row>
    <row r="23" spans="2:7" x14ac:dyDescent="0.35">
      <c r="B23" s="29" t="s">
        <v>306</v>
      </c>
      <c r="C23" s="31">
        <v>4500</v>
      </c>
      <c r="D23" s="27"/>
    </row>
    <row r="24" spans="2:7" x14ac:dyDescent="0.35">
      <c r="B24" s="29" t="s">
        <v>307</v>
      </c>
      <c r="C24" s="31">
        <v>4900</v>
      </c>
      <c r="D24" s="27"/>
      <c r="F24" s="9"/>
    </row>
    <row r="25" spans="2:7" x14ac:dyDescent="0.35">
      <c r="B25" s="29" t="s">
        <v>308</v>
      </c>
      <c r="C25" s="31">
        <v>5500</v>
      </c>
      <c r="D25" s="27"/>
      <c r="F25" s="41"/>
    </row>
    <row r="26" spans="2:7" x14ac:dyDescent="0.35">
      <c r="B26" s="29" t="s">
        <v>309</v>
      </c>
      <c r="C26" s="31">
        <v>7300</v>
      </c>
      <c r="D26" s="27"/>
    </row>
    <row r="27" spans="2:7" x14ac:dyDescent="0.35">
      <c r="B27" s="28"/>
      <c r="C27" s="90"/>
      <c r="D27" s="27"/>
      <c r="F27" s="38"/>
    </row>
    <row r="28" spans="2:7" x14ac:dyDescent="0.35">
      <c r="B28" s="29" t="s">
        <v>310</v>
      </c>
      <c r="C28" s="31">
        <v>12900</v>
      </c>
      <c r="D28" s="27"/>
    </row>
    <row r="29" spans="2:7" x14ac:dyDescent="0.35">
      <c r="B29" s="29" t="s">
        <v>311</v>
      </c>
      <c r="C29" s="31">
        <v>14500</v>
      </c>
      <c r="D29" s="27"/>
    </row>
    <row r="30" spans="2:7" x14ac:dyDescent="0.35">
      <c r="B30" s="29" t="s">
        <v>312</v>
      </c>
      <c r="C30" s="31">
        <v>19000</v>
      </c>
      <c r="D30" s="27"/>
    </row>
    <row r="31" spans="2:7" x14ac:dyDescent="0.35">
      <c r="B31" s="29" t="s">
        <v>313</v>
      </c>
      <c r="C31" s="30">
        <v>21000</v>
      </c>
      <c r="D31" s="27"/>
    </row>
    <row r="32" spans="2:7" x14ac:dyDescent="0.35">
      <c r="B32" s="28"/>
      <c r="C32" s="27"/>
      <c r="D32" s="27"/>
    </row>
    <row r="33" spans="2:8" x14ac:dyDescent="0.35">
      <c r="B33" s="29" t="s">
        <v>314</v>
      </c>
      <c r="C33" s="30">
        <v>7600</v>
      </c>
      <c r="D33" s="27"/>
    </row>
    <row r="34" spans="2:8" x14ac:dyDescent="0.35">
      <c r="B34" s="29" t="s">
        <v>315</v>
      </c>
      <c r="C34" s="30">
        <v>9000</v>
      </c>
    </row>
    <row r="35" spans="2:8" x14ac:dyDescent="0.35">
      <c r="B35" s="29" t="s">
        <v>702</v>
      </c>
      <c r="C35" s="30">
        <v>12000</v>
      </c>
    </row>
    <row r="36" spans="2:8" ht="23.25" customHeight="1" x14ac:dyDescent="0.35"/>
    <row r="37" spans="2:8" x14ac:dyDescent="0.35">
      <c r="B37" s="91" t="s">
        <v>461</v>
      </c>
      <c r="C37" s="92">
        <v>770</v>
      </c>
    </row>
    <row r="38" spans="2:8" x14ac:dyDescent="0.35">
      <c r="B38" s="29" t="s">
        <v>460</v>
      </c>
      <c r="C38" s="31">
        <v>46000</v>
      </c>
    </row>
    <row r="39" spans="2:8" x14ac:dyDescent="0.35">
      <c r="B39" s="29" t="s">
        <v>661</v>
      </c>
      <c r="C39" s="31">
        <v>38500</v>
      </c>
    </row>
    <row r="40" spans="2:8" x14ac:dyDescent="0.35">
      <c r="B40" s="91" t="s">
        <v>467</v>
      </c>
      <c r="C40" s="31">
        <v>2700</v>
      </c>
    </row>
    <row r="41" spans="2:8" ht="23.25" customHeight="1" x14ac:dyDescent="0.35">
      <c r="B41" s="96"/>
      <c r="C41" s="96"/>
    </row>
    <row r="42" spans="2:8" x14ac:dyDescent="0.35">
      <c r="B42" s="29" t="s">
        <v>453</v>
      </c>
      <c r="C42" s="93">
        <v>3800</v>
      </c>
    </row>
    <row r="43" spans="2:8" x14ac:dyDescent="0.35">
      <c r="B43" s="29" t="s">
        <v>454</v>
      </c>
      <c r="C43" s="93">
        <v>3000</v>
      </c>
    </row>
    <row r="44" spans="2:8" x14ac:dyDescent="0.35">
      <c r="B44" s="29" t="s">
        <v>455</v>
      </c>
      <c r="C44" s="93">
        <v>3700</v>
      </c>
    </row>
    <row r="45" spans="2:8" x14ac:dyDescent="0.35">
      <c r="B45" s="29" t="s">
        <v>456</v>
      </c>
      <c r="C45" s="93">
        <v>5500</v>
      </c>
      <c r="H45">
        <f>3800*5</f>
        <v>19000</v>
      </c>
    </row>
    <row r="46" spans="2:8" x14ac:dyDescent="0.35">
      <c r="B46" s="29" t="s">
        <v>457</v>
      </c>
      <c r="C46" s="93">
        <v>7500</v>
      </c>
      <c r="H46">
        <v>134000</v>
      </c>
    </row>
    <row r="47" spans="2:8" x14ac:dyDescent="0.35">
      <c r="B47" s="29" t="s">
        <v>548</v>
      </c>
      <c r="C47" s="93">
        <v>13000</v>
      </c>
    </row>
    <row r="48" spans="2:8" x14ac:dyDescent="0.35">
      <c r="B48" s="29" t="s">
        <v>549</v>
      </c>
      <c r="C48" s="93">
        <v>9000</v>
      </c>
      <c r="H48">
        <f>+H46+H45</f>
        <v>153000</v>
      </c>
    </row>
    <row r="49" spans="2:3" x14ac:dyDescent="0.35">
      <c r="B49" s="29" t="s">
        <v>547</v>
      </c>
      <c r="C49" s="93">
        <v>6500</v>
      </c>
    </row>
    <row r="50" spans="2:3" x14ac:dyDescent="0.35">
      <c r="B50" s="29"/>
      <c r="C50" s="30"/>
    </row>
    <row r="51" spans="2:3" ht="23.25" customHeight="1" x14ac:dyDescent="0.35">
      <c r="C51" s="9"/>
    </row>
    <row r="52" spans="2:3" ht="23.25" customHeight="1" x14ac:dyDescent="0.35">
      <c r="B52" s="135" t="s">
        <v>625</v>
      </c>
      <c r="C52" s="135"/>
    </row>
    <row r="53" spans="2:3" ht="23.25" customHeight="1" x14ac:dyDescent="0.35">
      <c r="B53" s="91" t="s">
        <v>461</v>
      </c>
      <c r="C53" s="92">
        <v>770</v>
      </c>
    </row>
    <row r="54" spans="2:3" ht="23.25" customHeight="1" x14ac:dyDescent="0.35">
      <c r="B54" s="91" t="s">
        <v>467</v>
      </c>
      <c r="C54" s="31">
        <v>2700</v>
      </c>
    </row>
    <row r="55" spans="2:3" ht="23.25" customHeight="1" x14ac:dyDescent="0.35">
      <c r="B55" s="96"/>
      <c r="C55" s="96"/>
    </row>
    <row r="56" spans="2:3" x14ac:dyDescent="0.35">
      <c r="B56" s="29" t="s">
        <v>453</v>
      </c>
      <c r="C56" s="30">
        <v>3200</v>
      </c>
    </row>
    <row r="57" spans="2:3" x14ac:dyDescent="0.35">
      <c r="B57" s="29" t="s">
        <v>454</v>
      </c>
      <c r="C57" s="30">
        <v>2620</v>
      </c>
    </row>
    <row r="58" spans="2:3" x14ac:dyDescent="0.35">
      <c r="B58" s="29" t="s">
        <v>455</v>
      </c>
      <c r="C58" s="30">
        <v>3310</v>
      </c>
    </row>
    <row r="59" spans="2:3" x14ac:dyDescent="0.35">
      <c r="B59" s="29" t="s">
        <v>456</v>
      </c>
      <c r="C59" s="30">
        <v>4780</v>
      </c>
    </row>
    <row r="60" spans="2:3" x14ac:dyDescent="0.35">
      <c r="B60" s="29" t="s">
        <v>457</v>
      </c>
      <c r="C60" s="30">
        <v>6710</v>
      </c>
    </row>
    <row r="61" spans="2:3" x14ac:dyDescent="0.35">
      <c r="B61" s="29" t="s">
        <v>548</v>
      </c>
      <c r="C61" s="30">
        <v>11700</v>
      </c>
    </row>
    <row r="62" spans="2:3" x14ac:dyDescent="0.35">
      <c r="B62" s="29" t="s">
        <v>549</v>
      </c>
      <c r="C62" s="30">
        <v>7800</v>
      </c>
    </row>
    <row r="63" spans="2:3" x14ac:dyDescent="0.35">
      <c r="B63" s="29" t="s">
        <v>547</v>
      </c>
      <c r="C63" s="30">
        <v>5800</v>
      </c>
    </row>
    <row r="64" spans="2:3" x14ac:dyDescent="0.35">
      <c r="B64" s="108"/>
      <c r="C64" s="109"/>
    </row>
    <row r="65" spans="2:6" ht="23.25" customHeight="1" x14ac:dyDescent="0.35">
      <c r="B65" s="29" t="s">
        <v>617</v>
      </c>
      <c r="C65" s="29" t="s">
        <v>632</v>
      </c>
      <c r="D65" s="29" t="s">
        <v>633</v>
      </c>
      <c r="E65" s="29" t="s">
        <v>652</v>
      </c>
      <c r="F65" s="29" t="s">
        <v>656</v>
      </c>
    </row>
    <row r="66" spans="2:6" ht="23.25" customHeight="1" x14ac:dyDescent="0.35">
      <c r="B66" s="113" t="s">
        <v>643</v>
      </c>
      <c r="C66" s="31">
        <v>5500</v>
      </c>
      <c r="D66" s="30">
        <v>6500</v>
      </c>
      <c r="E66" s="29" t="s">
        <v>653</v>
      </c>
      <c r="F66" s="29" t="s">
        <v>657</v>
      </c>
    </row>
    <row r="67" spans="2:6" ht="23.25" customHeight="1" x14ac:dyDescent="0.35">
      <c r="B67" s="113" t="s">
        <v>644</v>
      </c>
      <c r="C67" s="31">
        <v>8500</v>
      </c>
      <c r="D67" s="30">
        <v>9500</v>
      </c>
      <c r="E67" s="29" t="s">
        <v>653</v>
      </c>
      <c r="F67" s="29" t="s">
        <v>657</v>
      </c>
    </row>
    <row r="68" spans="2:6" ht="23.25" customHeight="1" x14ac:dyDescent="0.35">
      <c r="B68" s="113" t="s">
        <v>645</v>
      </c>
      <c r="C68" s="31">
        <v>10000</v>
      </c>
      <c r="D68" s="30">
        <v>11500</v>
      </c>
      <c r="E68" s="29" t="s">
        <v>654</v>
      </c>
      <c r="F68" s="29" t="s">
        <v>657</v>
      </c>
    </row>
    <row r="69" spans="2:6" ht="23.25" customHeight="1" x14ac:dyDescent="0.35">
      <c r="B69" s="113" t="s">
        <v>646</v>
      </c>
      <c r="C69" s="31">
        <v>14700</v>
      </c>
      <c r="D69" s="30">
        <v>16500</v>
      </c>
      <c r="E69" s="29" t="s">
        <v>654</v>
      </c>
      <c r="F69" s="29" t="s">
        <v>657</v>
      </c>
    </row>
    <row r="70" spans="2:6" ht="23.25" customHeight="1" x14ac:dyDescent="0.35">
      <c r="B70" s="113" t="s">
        <v>647</v>
      </c>
      <c r="C70" s="31">
        <v>6000</v>
      </c>
      <c r="D70" s="30">
        <v>7100</v>
      </c>
      <c r="E70" s="29" t="s">
        <v>654</v>
      </c>
      <c r="F70" s="29" t="s">
        <v>657</v>
      </c>
    </row>
    <row r="71" spans="2:6" ht="23.25" customHeight="1" x14ac:dyDescent="0.35">
      <c r="B71" s="113" t="s">
        <v>648</v>
      </c>
      <c r="C71" s="31">
        <v>7500</v>
      </c>
      <c r="D71" s="30">
        <v>8500</v>
      </c>
      <c r="E71" s="29" t="s">
        <v>654</v>
      </c>
      <c r="F71" s="29" t="s">
        <v>657</v>
      </c>
    </row>
    <row r="72" spans="2:6" ht="23.25" customHeight="1" x14ac:dyDescent="0.35">
      <c r="B72" s="113" t="s">
        <v>649</v>
      </c>
      <c r="C72" s="31">
        <v>9700</v>
      </c>
      <c r="D72" s="30">
        <v>11000</v>
      </c>
      <c r="E72" s="29" t="s">
        <v>654</v>
      </c>
      <c r="F72" s="29" t="s">
        <v>657</v>
      </c>
    </row>
    <row r="73" spans="2:6" ht="23.25" customHeight="1" x14ac:dyDescent="0.35">
      <c r="B73" s="113" t="s">
        <v>650</v>
      </c>
      <c r="C73" s="31">
        <v>29700</v>
      </c>
      <c r="D73" s="30">
        <v>32000</v>
      </c>
      <c r="E73" s="29" t="s">
        <v>655</v>
      </c>
      <c r="F73" s="29" t="s">
        <v>658</v>
      </c>
    </row>
    <row r="74" spans="2:6" ht="23.25" customHeight="1" x14ac:dyDescent="0.35">
      <c r="B74" s="113" t="s">
        <v>651</v>
      </c>
      <c r="C74" s="31">
        <v>30150</v>
      </c>
      <c r="D74" s="30">
        <v>33500</v>
      </c>
      <c r="E74" s="29" t="s">
        <v>655</v>
      </c>
      <c r="F74" s="29" t="s">
        <v>658</v>
      </c>
    </row>
    <row r="75" spans="2:6" ht="23.25" customHeight="1" x14ac:dyDescent="0.35">
      <c r="B75" s="28"/>
      <c r="C75" s="28"/>
    </row>
    <row r="76" spans="2:6" ht="23.25" customHeight="1" x14ac:dyDescent="0.35"/>
    <row r="77" spans="2:6" ht="23.25" customHeight="1" x14ac:dyDescent="0.35">
      <c r="B77" s="116" t="s">
        <v>605</v>
      </c>
      <c r="C77" s="31">
        <v>7300</v>
      </c>
    </row>
    <row r="78" spans="2:6" ht="23.25" customHeight="1" x14ac:dyDescent="0.35">
      <c r="B78" s="116" t="s">
        <v>606</v>
      </c>
      <c r="C78" s="31">
        <v>5500</v>
      </c>
    </row>
    <row r="79" spans="2:6" ht="23.25" customHeight="1" x14ac:dyDescent="0.35">
      <c r="B79" s="116" t="s">
        <v>607</v>
      </c>
      <c r="C79" s="31">
        <v>5000</v>
      </c>
    </row>
    <row r="80" spans="2:6" ht="23.25" customHeight="1" x14ac:dyDescent="0.35">
      <c r="B80" s="116" t="s">
        <v>608</v>
      </c>
      <c r="C80" s="31">
        <v>5800</v>
      </c>
    </row>
    <row r="81" spans="1:4" ht="23.25" customHeight="1" x14ac:dyDescent="0.35">
      <c r="B81" s="116" t="s">
        <v>609</v>
      </c>
      <c r="C81" s="31">
        <v>7900</v>
      </c>
    </row>
    <row r="82" spans="1:4" ht="23.25" customHeight="1" x14ac:dyDescent="0.35">
      <c r="B82" s="116" t="s">
        <v>612</v>
      </c>
      <c r="C82" s="31">
        <v>4500</v>
      </c>
    </row>
    <row r="83" spans="1:4" ht="23.25" customHeight="1" x14ac:dyDescent="0.35">
      <c r="B83" s="116" t="s">
        <v>610</v>
      </c>
      <c r="C83" s="31">
        <v>5900</v>
      </c>
    </row>
    <row r="84" spans="1:4" x14ac:dyDescent="0.35">
      <c r="B84" s="116" t="s">
        <v>611</v>
      </c>
      <c r="C84" s="31">
        <v>10000</v>
      </c>
    </row>
    <row r="85" spans="1:4" x14ac:dyDescent="0.35">
      <c r="A85" t="s">
        <v>753</v>
      </c>
      <c r="B85" s="116" t="s">
        <v>613</v>
      </c>
      <c r="C85" s="31">
        <v>5000</v>
      </c>
    </row>
    <row r="86" spans="1:4" x14ac:dyDescent="0.35">
      <c r="B86" s="116" t="s">
        <v>614</v>
      </c>
      <c r="C86" s="31">
        <v>4700</v>
      </c>
    </row>
    <row r="87" spans="1:4" x14ac:dyDescent="0.35">
      <c r="B87" s="116" t="s">
        <v>615</v>
      </c>
      <c r="C87" s="31">
        <v>4700</v>
      </c>
    </row>
    <row r="88" spans="1:4" x14ac:dyDescent="0.35">
      <c r="B88" s="116" t="s">
        <v>616</v>
      </c>
      <c r="C88" s="31">
        <v>4900</v>
      </c>
    </row>
    <row r="90" spans="1:4" ht="37.5" customHeight="1" x14ac:dyDescent="0.25">
      <c r="B90" s="130" t="s">
        <v>617</v>
      </c>
      <c r="C90" s="130" t="s">
        <v>578</v>
      </c>
      <c r="D90" s="130" t="s">
        <v>498</v>
      </c>
    </row>
    <row r="91" spans="1:4" ht="23.25" customHeight="1" x14ac:dyDescent="0.35">
      <c r="B91" s="116" t="s">
        <v>754</v>
      </c>
      <c r="C91" s="31">
        <v>14800</v>
      </c>
      <c r="D91" s="30">
        <v>16900</v>
      </c>
    </row>
    <row r="92" spans="1:4" ht="23.25" customHeight="1" x14ac:dyDescent="0.35">
      <c r="B92" s="116" t="s">
        <v>755</v>
      </c>
      <c r="C92" s="31">
        <v>5100</v>
      </c>
      <c r="D92" s="30">
        <v>6500</v>
      </c>
    </row>
    <row r="93" spans="1:4" ht="23.25" customHeight="1" x14ac:dyDescent="0.35">
      <c r="B93" s="116" t="s">
        <v>731</v>
      </c>
      <c r="C93" s="31">
        <v>16500</v>
      </c>
      <c r="D93" s="30">
        <v>18900</v>
      </c>
    </row>
    <row r="94" spans="1:4" ht="23.25" customHeight="1" x14ac:dyDescent="0.35">
      <c r="B94" s="116" t="s">
        <v>740</v>
      </c>
      <c r="C94" s="31">
        <v>5900</v>
      </c>
      <c r="D94" s="30">
        <v>6900</v>
      </c>
    </row>
    <row r="95" spans="1:4" ht="23.25" customHeight="1" x14ac:dyDescent="0.35">
      <c r="B95" s="116" t="s">
        <v>732</v>
      </c>
      <c r="C95" s="31">
        <v>23300</v>
      </c>
      <c r="D95" s="30">
        <v>26500</v>
      </c>
    </row>
    <row r="96" spans="1:4" ht="23.25" customHeight="1" x14ac:dyDescent="0.35">
      <c r="B96" s="116" t="s">
        <v>733</v>
      </c>
      <c r="C96" s="31">
        <v>25500</v>
      </c>
      <c r="D96" s="30">
        <v>29000</v>
      </c>
    </row>
    <row r="97" spans="2:4" ht="23.25" customHeight="1" x14ac:dyDescent="0.35">
      <c r="B97" s="116" t="s">
        <v>734</v>
      </c>
      <c r="C97" s="31">
        <v>13900</v>
      </c>
      <c r="D97" s="30">
        <v>16000</v>
      </c>
    </row>
    <row r="98" spans="2:4" ht="23.25" customHeight="1" x14ac:dyDescent="0.35">
      <c r="B98" s="116" t="s">
        <v>735</v>
      </c>
      <c r="C98" s="31">
        <v>5500</v>
      </c>
      <c r="D98" s="30">
        <v>6500</v>
      </c>
    </row>
    <row r="99" spans="2:4" ht="23.25" customHeight="1" x14ac:dyDescent="0.35">
      <c r="B99" s="116" t="s">
        <v>736</v>
      </c>
      <c r="C99" s="31">
        <v>8400</v>
      </c>
      <c r="D99" s="30">
        <v>9500</v>
      </c>
    </row>
    <row r="100" spans="2:4" ht="23.25" customHeight="1" x14ac:dyDescent="0.35">
      <c r="B100" s="116" t="s">
        <v>737</v>
      </c>
      <c r="C100" s="31">
        <v>10000</v>
      </c>
      <c r="D100" s="30">
        <v>11500</v>
      </c>
    </row>
    <row r="101" spans="2:4" ht="23.25" customHeight="1" x14ac:dyDescent="0.35">
      <c r="B101" s="116" t="s">
        <v>738</v>
      </c>
      <c r="C101" s="31">
        <v>14700</v>
      </c>
      <c r="D101" s="30">
        <v>17000</v>
      </c>
    </row>
    <row r="102" spans="2:4" ht="23.25" customHeight="1" x14ac:dyDescent="0.35">
      <c r="B102" s="116" t="s">
        <v>739</v>
      </c>
      <c r="C102" s="31">
        <v>4900</v>
      </c>
      <c r="D102" s="30">
        <v>5900</v>
      </c>
    </row>
    <row r="103" spans="2:4" ht="23.25" customHeight="1" x14ac:dyDescent="0.35"/>
    <row r="104" spans="2:4" ht="23.25" customHeight="1" x14ac:dyDescent="0.35"/>
    <row r="105" spans="2:4" ht="23.25" customHeight="1" x14ac:dyDescent="0.35">
      <c r="B105" s="116" t="s">
        <v>741</v>
      </c>
      <c r="C105" s="31">
        <v>8700</v>
      </c>
      <c r="D105" s="30">
        <v>10000</v>
      </c>
    </row>
    <row r="106" spans="2:4" ht="23.25" customHeight="1" x14ac:dyDescent="0.35">
      <c r="B106" s="116" t="s">
        <v>742</v>
      </c>
      <c r="C106" s="31">
        <v>23700</v>
      </c>
      <c r="D106" s="30">
        <v>26900</v>
      </c>
    </row>
    <row r="107" spans="2:4" ht="23.25" customHeight="1" x14ac:dyDescent="0.35">
      <c r="B107" s="116" t="s">
        <v>743</v>
      </c>
      <c r="C107" s="31">
        <v>25500</v>
      </c>
      <c r="D107" s="30">
        <v>28000</v>
      </c>
    </row>
    <row r="108" spans="2:4" ht="23.25" customHeight="1" x14ac:dyDescent="0.35">
      <c r="B108" s="116" t="s">
        <v>744</v>
      </c>
      <c r="C108" s="31">
        <v>28500</v>
      </c>
      <c r="D108" s="30">
        <v>30500</v>
      </c>
    </row>
    <row r="109" spans="2:4" ht="23.25" customHeight="1" x14ac:dyDescent="0.35"/>
    <row r="110" spans="2:4" ht="23.25" customHeight="1" x14ac:dyDescent="0.35"/>
    <row r="111" spans="2:4" ht="23.25" customHeight="1" x14ac:dyDescent="0.35"/>
    <row r="112" spans="2:4" ht="23.25" customHeight="1" x14ac:dyDescent="0.35"/>
    <row r="113" ht="23.25" customHeight="1" x14ac:dyDescent="0.35"/>
    <row r="114" ht="23.25" customHeight="1" x14ac:dyDescent="0.35"/>
    <row r="115" ht="23.25" customHeight="1" x14ac:dyDescent="0.35"/>
    <row r="116" ht="23.25" customHeight="1" x14ac:dyDescent="0.35"/>
    <row r="117" ht="23.25" customHeight="1" x14ac:dyDescent="0.35"/>
    <row r="118" ht="23.25" customHeight="1" x14ac:dyDescent="0.35"/>
    <row r="119" ht="23.25" customHeight="1" x14ac:dyDescent="0.35"/>
    <row r="120" ht="23.25" customHeight="1" x14ac:dyDescent="0.35"/>
    <row r="121" ht="23.25" customHeight="1" x14ac:dyDescent="0.35"/>
    <row r="122" ht="23.25" customHeight="1" x14ac:dyDescent="0.35"/>
    <row r="123" ht="23.25" customHeight="1" x14ac:dyDescent="0.35"/>
    <row r="124" ht="23.25" customHeight="1" x14ac:dyDescent="0.35"/>
    <row r="125" ht="23.25" customHeight="1" x14ac:dyDescent="0.35"/>
    <row r="126" ht="23.25" customHeight="1" x14ac:dyDescent="0.35"/>
    <row r="127" ht="23.25" customHeight="1" x14ac:dyDescent="0.35"/>
    <row r="128" ht="23.25" customHeight="1" x14ac:dyDescent="0.35"/>
  </sheetData>
  <mergeCells count="2">
    <mergeCell ref="B52:C52"/>
    <mergeCell ref="B2:D2"/>
  </mergeCells>
  <pageMargins left="1" right="1" top="1" bottom="1" header="0.5" footer="0.5"/>
  <pageSetup scale="2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B2:L96"/>
  <sheetViews>
    <sheetView topLeftCell="A54" zoomScale="85" zoomScaleNormal="85" workbookViewId="0">
      <selection activeCell="C96" sqref="C96:F96"/>
    </sheetView>
  </sheetViews>
  <sheetFormatPr defaultColWidth="11.42578125" defaultRowHeight="15" x14ac:dyDescent="0.25"/>
  <cols>
    <col min="2" max="2" width="12.7109375" bestFit="1" customWidth="1"/>
    <col min="3" max="3" width="21.42578125" bestFit="1" customWidth="1"/>
    <col min="4" max="4" width="49.5703125" bestFit="1" customWidth="1"/>
    <col min="5" max="5" width="10" bestFit="1" customWidth="1"/>
    <col min="6" max="6" width="9.7109375" style="9" customWidth="1"/>
  </cols>
  <sheetData>
    <row r="2" spans="2:6" x14ac:dyDescent="0.25">
      <c r="B2" s="61" t="s">
        <v>192</v>
      </c>
      <c r="C2" s="61" t="s">
        <v>247</v>
      </c>
      <c r="D2" s="61" t="s">
        <v>317</v>
      </c>
      <c r="E2" s="61" t="s">
        <v>193</v>
      </c>
      <c r="F2" s="62" t="s">
        <v>194</v>
      </c>
    </row>
    <row r="3" spans="2:6" ht="18.75" customHeight="1" x14ac:dyDescent="0.25">
      <c r="B3" s="59" t="s">
        <v>318</v>
      </c>
      <c r="C3" s="59" t="s">
        <v>4</v>
      </c>
      <c r="D3" s="59" t="s">
        <v>319</v>
      </c>
      <c r="E3" s="59" t="s">
        <v>320</v>
      </c>
      <c r="F3" s="63">
        <v>4950</v>
      </c>
    </row>
    <row r="4" spans="2:6" ht="18.75" customHeight="1" x14ac:dyDescent="0.25">
      <c r="B4" s="59" t="s">
        <v>318</v>
      </c>
      <c r="C4" s="59" t="s">
        <v>4</v>
      </c>
      <c r="D4" s="59" t="s">
        <v>321</v>
      </c>
      <c r="E4" s="59" t="s">
        <v>320</v>
      </c>
      <c r="F4" s="63">
        <v>3200</v>
      </c>
    </row>
    <row r="5" spans="2:6" ht="18.75" customHeight="1" x14ac:dyDescent="0.25">
      <c r="B5" s="59" t="s">
        <v>318</v>
      </c>
      <c r="C5" s="59" t="s">
        <v>4</v>
      </c>
      <c r="D5" s="59" t="s">
        <v>322</v>
      </c>
      <c r="E5" s="59" t="s">
        <v>320</v>
      </c>
      <c r="F5" s="63">
        <v>1950</v>
      </c>
    </row>
    <row r="6" spans="2:6" ht="18.75" customHeight="1" x14ac:dyDescent="0.25">
      <c r="B6" s="59" t="s">
        <v>318</v>
      </c>
      <c r="C6" s="59" t="s">
        <v>4</v>
      </c>
      <c r="D6" s="59" t="s">
        <v>323</v>
      </c>
      <c r="E6" s="59" t="s">
        <v>320</v>
      </c>
      <c r="F6" s="63">
        <v>2900</v>
      </c>
    </row>
    <row r="7" spans="2:6" ht="18.75" customHeight="1" x14ac:dyDescent="0.25">
      <c r="B7" s="59" t="s">
        <v>318</v>
      </c>
      <c r="C7" s="59" t="s">
        <v>4</v>
      </c>
      <c r="D7" s="59" t="s">
        <v>324</v>
      </c>
      <c r="E7" s="59" t="s">
        <v>320</v>
      </c>
      <c r="F7" s="63">
        <v>1450</v>
      </c>
    </row>
    <row r="8" spans="2:6" ht="18.75" customHeight="1" x14ac:dyDescent="0.25">
      <c r="B8" s="59" t="s">
        <v>318</v>
      </c>
      <c r="C8" s="59" t="s">
        <v>4</v>
      </c>
      <c r="D8" s="59" t="s">
        <v>325</v>
      </c>
      <c r="E8" s="59" t="s">
        <v>320</v>
      </c>
      <c r="F8" s="63">
        <v>1700</v>
      </c>
    </row>
    <row r="9" spans="2:6" ht="18.75" customHeight="1" x14ac:dyDescent="0.25">
      <c r="B9" s="59" t="s">
        <v>318</v>
      </c>
      <c r="C9" s="59" t="s">
        <v>4</v>
      </c>
      <c r="D9" s="59" t="s">
        <v>326</v>
      </c>
      <c r="E9" s="59" t="s">
        <v>320</v>
      </c>
      <c r="F9" s="63">
        <v>2800</v>
      </c>
    </row>
    <row r="10" spans="2:6" ht="18.75" customHeight="1" x14ac:dyDescent="0.25">
      <c r="B10" s="59" t="s">
        <v>318</v>
      </c>
      <c r="C10" s="59" t="s">
        <v>4</v>
      </c>
      <c r="D10" s="59" t="s">
        <v>327</v>
      </c>
      <c r="E10" s="59" t="s">
        <v>320</v>
      </c>
      <c r="F10" s="63">
        <v>1400</v>
      </c>
    </row>
    <row r="11" spans="2:6" ht="18.75" customHeight="1" x14ac:dyDescent="0.25">
      <c r="B11" s="59" t="s">
        <v>318</v>
      </c>
      <c r="C11" s="59" t="s">
        <v>4</v>
      </c>
      <c r="D11" s="59" t="s">
        <v>328</v>
      </c>
      <c r="E11" s="59" t="s">
        <v>320</v>
      </c>
      <c r="F11" s="63">
        <v>1500</v>
      </c>
    </row>
    <row r="12" spans="2:6" ht="18.75" customHeight="1" x14ac:dyDescent="0.25">
      <c r="B12" s="59" t="s">
        <v>318</v>
      </c>
      <c r="C12" s="59" t="s">
        <v>4</v>
      </c>
      <c r="D12" s="59" t="s">
        <v>329</v>
      </c>
      <c r="E12" s="59" t="s">
        <v>320</v>
      </c>
      <c r="F12" s="63">
        <v>4600</v>
      </c>
    </row>
    <row r="13" spans="2:6" ht="18.75" customHeight="1" x14ac:dyDescent="0.25">
      <c r="B13" s="59" t="s">
        <v>318</v>
      </c>
      <c r="C13" s="59" t="s">
        <v>4</v>
      </c>
      <c r="D13" s="59" t="s">
        <v>330</v>
      </c>
      <c r="E13" s="59" t="s">
        <v>320</v>
      </c>
      <c r="F13" s="63">
        <v>4600</v>
      </c>
    </row>
    <row r="14" spans="2:6" ht="18.75" customHeight="1" x14ac:dyDescent="0.25">
      <c r="B14" s="59" t="s">
        <v>318</v>
      </c>
      <c r="C14" s="59" t="s">
        <v>4</v>
      </c>
      <c r="D14" s="59" t="s">
        <v>331</v>
      </c>
      <c r="E14" s="59" t="s">
        <v>320</v>
      </c>
      <c r="F14" s="63">
        <v>4600</v>
      </c>
    </row>
    <row r="15" spans="2:6" ht="18.75" customHeight="1" x14ac:dyDescent="0.25">
      <c r="B15" s="59" t="s">
        <v>318</v>
      </c>
      <c r="C15" s="59" t="s">
        <v>4</v>
      </c>
      <c r="D15" s="59" t="s">
        <v>630</v>
      </c>
      <c r="E15" s="59" t="s">
        <v>320</v>
      </c>
      <c r="F15" s="63">
        <v>2000</v>
      </c>
    </row>
    <row r="16" spans="2:6" ht="18.75" customHeight="1" x14ac:dyDescent="0.25">
      <c r="B16" s="59" t="s">
        <v>318</v>
      </c>
      <c r="C16" s="59" t="s">
        <v>4</v>
      </c>
      <c r="D16" s="59" t="s">
        <v>629</v>
      </c>
      <c r="E16" s="59" t="s">
        <v>320</v>
      </c>
      <c r="F16" s="63">
        <v>2000</v>
      </c>
    </row>
    <row r="17" spans="2:8" x14ac:dyDescent="0.25">
      <c r="B17" s="59" t="s">
        <v>318</v>
      </c>
      <c r="C17" s="59" t="s">
        <v>4</v>
      </c>
      <c r="D17" s="59" t="s">
        <v>628</v>
      </c>
      <c r="E17" s="59" t="s">
        <v>320</v>
      </c>
      <c r="F17" s="63">
        <v>2000</v>
      </c>
    </row>
    <row r="18" spans="2:8" x14ac:dyDescent="0.25">
      <c r="B18" s="59" t="s">
        <v>318</v>
      </c>
      <c r="C18" s="59" t="s">
        <v>4</v>
      </c>
      <c r="D18" s="59" t="s">
        <v>332</v>
      </c>
      <c r="E18" s="59" t="s">
        <v>320</v>
      </c>
      <c r="F18" s="63">
        <v>3500</v>
      </c>
    </row>
    <row r="19" spans="2:8" x14ac:dyDescent="0.25">
      <c r="B19" s="59" t="s">
        <v>318</v>
      </c>
      <c r="C19" s="59" t="s">
        <v>4</v>
      </c>
      <c r="D19" s="59" t="s">
        <v>333</v>
      </c>
      <c r="E19" s="59" t="s">
        <v>320</v>
      </c>
      <c r="F19" s="63">
        <v>2600</v>
      </c>
    </row>
    <row r="20" spans="2:8" x14ac:dyDescent="0.25">
      <c r="B20" s="59" t="s">
        <v>318</v>
      </c>
      <c r="C20" s="59" t="s">
        <v>4</v>
      </c>
      <c r="D20" s="59" t="s">
        <v>334</v>
      </c>
      <c r="E20" s="59" t="s">
        <v>320</v>
      </c>
      <c r="F20" s="63">
        <v>1500</v>
      </c>
    </row>
    <row r="21" spans="2:8" x14ac:dyDescent="0.25">
      <c r="B21" s="59" t="s">
        <v>272</v>
      </c>
      <c r="C21" s="59" t="s">
        <v>4</v>
      </c>
      <c r="D21" s="59" t="s">
        <v>335</v>
      </c>
      <c r="E21" s="59" t="s">
        <v>320</v>
      </c>
      <c r="F21" s="63">
        <f>20*530</f>
        <v>10600</v>
      </c>
    </row>
    <row r="22" spans="2:8" x14ac:dyDescent="0.25">
      <c r="B22" s="64" t="s">
        <v>447</v>
      </c>
      <c r="C22" s="64" t="s">
        <v>448</v>
      </c>
      <c r="D22" s="64" t="s">
        <v>449</v>
      </c>
      <c r="E22" s="64" t="s">
        <v>320</v>
      </c>
      <c r="F22" s="65">
        <v>7950</v>
      </c>
    </row>
    <row r="23" spans="2:8" x14ac:dyDescent="0.25">
      <c r="B23" s="64" t="s">
        <v>336</v>
      </c>
      <c r="C23" s="64" t="s">
        <v>1</v>
      </c>
      <c r="D23" s="64" t="s">
        <v>446</v>
      </c>
      <c r="E23" s="64" t="s">
        <v>320</v>
      </c>
      <c r="F23" s="65">
        <v>12720</v>
      </c>
      <c r="G23">
        <v>24</v>
      </c>
      <c r="H23">
        <f>+F23/G23</f>
        <v>530</v>
      </c>
    </row>
    <row r="24" spans="2:8" x14ac:dyDescent="0.25">
      <c r="B24" s="64" t="s">
        <v>336</v>
      </c>
      <c r="C24" s="64" t="s">
        <v>1</v>
      </c>
      <c r="D24" s="64" t="s">
        <v>337</v>
      </c>
      <c r="E24" s="64" t="s">
        <v>320</v>
      </c>
      <c r="F24" s="65">
        <v>22800</v>
      </c>
      <c r="G24">
        <v>24</v>
      </c>
    </row>
    <row r="25" spans="2:8" x14ac:dyDescent="0.25">
      <c r="B25" s="59" t="s">
        <v>338</v>
      </c>
      <c r="C25" s="59" t="s">
        <v>4</v>
      </c>
      <c r="D25" s="59" t="s">
        <v>339</v>
      </c>
      <c r="E25" s="59" t="s">
        <v>320</v>
      </c>
      <c r="F25" s="63">
        <v>14850</v>
      </c>
      <c r="H25" s="112"/>
    </row>
    <row r="26" spans="2:8" x14ac:dyDescent="0.25">
      <c r="B26" s="59" t="s">
        <v>340</v>
      </c>
      <c r="C26" s="59" t="s">
        <v>1</v>
      </c>
      <c r="D26" s="59" t="s">
        <v>341</v>
      </c>
      <c r="E26" s="59" t="s">
        <v>320</v>
      </c>
      <c r="F26" s="63">
        <v>2000</v>
      </c>
    </row>
    <row r="27" spans="2:8" x14ac:dyDescent="0.25">
      <c r="B27" s="59" t="s">
        <v>340</v>
      </c>
      <c r="C27" s="59" t="s">
        <v>4</v>
      </c>
      <c r="D27" s="59" t="s">
        <v>342</v>
      </c>
      <c r="E27" s="59" t="s">
        <v>320</v>
      </c>
      <c r="F27" s="63">
        <v>4000</v>
      </c>
    </row>
    <row r="28" spans="2:8" x14ac:dyDescent="0.25">
      <c r="B28" s="59" t="s">
        <v>343</v>
      </c>
      <c r="C28" s="59" t="s">
        <v>1</v>
      </c>
      <c r="D28" s="59" t="s">
        <v>344</v>
      </c>
      <c r="E28" s="59" t="s">
        <v>320</v>
      </c>
      <c r="F28" s="63">
        <v>950</v>
      </c>
    </row>
    <row r="29" spans="2:8" x14ac:dyDescent="0.25">
      <c r="B29" s="59" t="s">
        <v>343</v>
      </c>
      <c r="C29" s="59" t="s">
        <v>1</v>
      </c>
      <c r="D29" s="59" t="s">
        <v>345</v>
      </c>
      <c r="E29" s="59" t="s">
        <v>320</v>
      </c>
      <c r="F29" s="63">
        <v>950</v>
      </c>
    </row>
    <row r="30" spans="2:8" x14ac:dyDescent="0.25">
      <c r="B30" s="59" t="s">
        <v>343</v>
      </c>
      <c r="C30" s="59" t="s">
        <v>1</v>
      </c>
      <c r="D30" s="59" t="s">
        <v>346</v>
      </c>
      <c r="E30" s="59" t="s">
        <v>320</v>
      </c>
      <c r="F30" s="63">
        <v>1200</v>
      </c>
    </row>
    <row r="31" spans="2:8" x14ac:dyDescent="0.25">
      <c r="B31" s="59" t="s">
        <v>347</v>
      </c>
      <c r="C31" s="59" t="s">
        <v>1</v>
      </c>
      <c r="D31" s="59" t="s">
        <v>348</v>
      </c>
      <c r="E31" s="59" t="s">
        <v>320</v>
      </c>
      <c r="F31" s="63">
        <v>950</v>
      </c>
    </row>
    <row r="32" spans="2:8" x14ac:dyDescent="0.25">
      <c r="B32" s="59" t="s">
        <v>281</v>
      </c>
      <c r="C32" s="59" t="s">
        <v>1</v>
      </c>
      <c r="D32" s="59" t="s">
        <v>550</v>
      </c>
      <c r="E32" s="59" t="s">
        <v>320</v>
      </c>
      <c r="F32" s="63"/>
    </row>
    <row r="33" spans="2:6" x14ac:dyDescent="0.25">
      <c r="B33" s="59" t="s">
        <v>281</v>
      </c>
      <c r="C33" s="59" t="s">
        <v>1</v>
      </c>
      <c r="D33" s="59" t="s">
        <v>349</v>
      </c>
      <c r="E33" s="59" t="s">
        <v>320</v>
      </c>
      <c r="F33" s="63">
        <v>11500</v>
      </c>
    </row>
    <row r="34" spans="2:6" x14ac:dyDescent="0.25">
      <c r="B34" s="59" t="s">
        <v>49</v>
      </c>
      <c r="C34" s="59" t="s">
        <v>4</v>
      </c>
      <c r="D34" s="59" t="s">
        <v>350</v>
      </c>
      <c r="E34" s="59" t="s">
        <v>320</v>
      </c>
      <c r="F34" s="63">
        <v>1200</v>
      </c>
    </row>
    <row r="35" spans="2:6" x14ac:dyDescent="0.25">
      <c r="B35" s="59" t="s">
        <v>72</v>
      </c>
      <c r="C35" s="59" t="s">
        <v>1</v>
      </c>
      <c r="D35" s="59" t="s">
        <v>351</v>
      </c>
      <c r="E35" s="59" t="s">
        <v>320</v>
      </c>
      <c r="F35" s="63"/>
    </row>
    <row r="36" spans="2:6" x14ac:dyDescent="0.25">
      <c r="B36" s="59" t="s">
        <v>49</v>
      </c>
      <c r="C36" s="59" t="s">
        <v>4</v>
      </c>
      <c r="D36" s="59" t="s">
        <v>487</v>
      </c>
      <c r="E36" s="59" t="s">
        <v>488</v>
      </c>
      <c r="F36" s="63">
        <v>21900</v>
      </c>
    </row>
    <row r="37" spans="2:6" x14ac:dyDescent="0.25">
      <c r="B37" s="59" t="s">
        <v>508</v>
      </c>
      <c r="C37" s="59" t="s">
        <v>4</v>
      </c>
      <c r="D37" s="59" t="s">
        <v>509</v>
      </c>
      <c r="E37" s="59" t="s">
        <v>320</v>
      </c>
      <c r="F37" s="63">
        <v>1950</v>
      </c>
    </row>
    <row r="38" spans="2:6" x14ac:dyDescent="0.25">
      <c r="B38" s="59" t="s">
        <v>508</v>
      </c>
      <c r="C38" s="59" t="s">
        <v>4</v>
      </c>
      <c r="D38" s="59" t="s">
        <v>510</v>
      </c>
      <c r="E38" s="59" t="s">
        <v>320</v>
      </c>
      <c r="F38" s="63">
        <v>7000</v>
      </c>
    </row>
    <row r="39" spans="2:6" x14ac:dyDescent="0.25">
      <c r="B39" s="59" t="s">
        <v>508</v>
      </c>
      <c r="C39" s="59" t="s">
        <v>4</v>
      </c>
      <c r="D39" s="59" t="s">
        <v>511</v>
      </c>
      <c r="E39" s="59" t="s">
        <v>320</v>
      </c>
      <c r="F39" s="63">
        <v>1950</v>
      </c>
    </row>
    <row r="40" spans="2:6" x14ac:dyDescent="0.25">
      <c r="B40" s="59" t="s">
        <v>508</v>
      </c>
      <c r="C40" s="59" t="s">
        <v>4</v>
      </c>
      <c r="D40" s="59" t="s">
        <v>512</v>
      </c>
      <c r="E40" s="59" t="s">
        <v>320</v>
      </c>
      <c r="F40" s="63">
        <v>7000</v>
      </c>
    </row>
    <row r="41" spans="2:6" x14ac:dyDescent="0.25">
      <c r="B41" s="59" t="s">
        <v>508</v>
      </c>
      <c r="C41" s="59" t="s">
        <v>4</v>
      </c>
      <c r="D41" s="59" t="s">
        <v>513</v>
      </c>
      <c r="E41" s="59" t="s">
        <v>320</v>
      </c>
      <c r="F41" s="63">
        <v>1950</v>
      </c>
    </row>
    <row r="42" spans="2:6" x14ac:dyDescent="0.25">
      <c r="B42" s="59" t="s">
        <v>508</v>
      </c>
      <c r="C42" s="59" t="s">
        <v>4</v>
      </c>
      <c r="D42" s="59" t="s">
        <v>514</v>
      </c>
      <c r="E42" s="59" t="s">
        <v>320</v>
      </c>
      <c r="F42" s="63">
        <v>7000</v>
      </c>
    </row>
    <row r="43" spans="2:6" x14ac:dyDescent="0.25">
      <c r="B43" s="59" t="s">
        <v>508</v>
      </c>
      <c r="C43" s="59" t="s">
        <v>4</v>
      </c>
      <c r="D43" s="59" t="s">
        <v>515</v>
      </c>
      <c r="E43" s="59" t="s">
        <v>320</v>
      </c>
      <c r="F43" s="63">
        <v>1950</v>
      </c>
    </row>
    <row r="44" spans="2:6" x14ac:dyDescent="0.25">
      <c r="B44" s="59" t="s">
        <v>508</v>
      </c>
      <c r="C44" s="59" t="s">
        <v>4</v>
      </c>
      <c r="D44" s="59" t="s">
        <v>516</v>
      </c>
      <c r="E44" s="59" t="s">
        <v>320</v>
      </c>
      <c r="F44" s="63">
        <v>6900</v>
      </c>
    </row>
    <row r="45" spans="2:6" x14ac:dyDescent="0.25">
      <c r="B45" s="59" t="s">
        <v>508</v>
      </c>
      <c r="C45" s="59" t="s">
        <v>4</v>
      </c>
      <c r="D45" s="59" t="s">
        <v>517</v>
      </c>
      <c r="E45" s="59" t="s">
        <v>320</v>
      </c>
      <c r="F45" s="63">
        <v>6200</v>
      </c>
    </row>
    <row r="46" spans="2:6" x14ac:dyDescent="0.25">
      <c r="B46" s="59" t="s">
        <v>508</v>
      </c>
      <c r="C46" s="59" t="s">
        <v>4</v>
      </c>
      <c r="D46" s="59" t="s">
        <v>518</v>
      </c>
      <c r="E46" s="59" t="s">
        <v>320</v>
      </c>
      <c r="F46" s="63">
        <v>6200</v>
      </c>
    </row>
    <row r="47" spans="2:6" x14ac:dyDescent="0.25">
      <c r="B47" s="59" t="s">
        <v>508</v>
      </c>
      <c r="C47" s="59" t="s">
        <v>4</v>
      </c>
      <c r="D47" s="59" t="s">
        <v>519</v>
      </c>
      <c r="E47" s="59" t="s">
        <v>320</v>
      </c>
      <c r="F47" s="63">
        <v>6200</v>
      </c>
    </row>
    <row r="48" spans="2:6" x14ac:dyDescent="0.25">
      <c r="B48" s="59" t="s">
        <v>508</v>
      </c>
      <c r="C48" s="59" t="s">
        <v>4</v>
      </c>
      <c r="D48" s="59" t="s">
        <v>520</v>
      </c>
      <c r="E48" s="59" t="s">
        <v>320</v>
      </c>
      <c r="F48" s="63">
        <v>6200</v>
      </c>
    </row>
    <row r="49" spans="2:12" x14ac:dyDescent="0.25">
      <c r="B49" s="59" t="s">
        <v>508</v>
      </c>
      <c r="C49" s="59" t="s">
        <v>4</v>
      </c>
      <c r="D49" s="59" t="s">
        <v>521</v>
      </c>
      <c r="E49" s="59" t="s">
        <v>320</v>
      </c>
      <c r="F49" s="63">
        <v>2500</v>
      </c>
    </row>
    <row r="50" spans="2:12" x14ac:dyDescent="0.25">
      <c r="B50" s="59" t="s">
        <v>508</v>
      </c>
      <c r="C50" s="59" t="s">
        <v>4</v>
      </c>
      <c r="D50" s="59" t="s">
        <v>522</v>
      </c>
      <c r="E50" s="59" t="s">
        <v>320</v>
      </c>
      <c r="F50" s="63">
        <v>2500</v>
      </c>
    </row>
    <row r="51" spans="2:12" x14ac:dyDescent="0.25">
      <c r="B51" s="59" t="s">
        <v>508</v>
      </c>
      <c r="C51" s="59" t="s">
        <v>4</v>
      </c>
      <c r="D51" s="59" t="s">
        <v>523</v>
      </c>
      <c r="E51" s="59" t="s">
        <v>320</v>
      </c>
      <c r="F51" s="63">
        <v>2500</v>
      </c>
    </row>
    <row r="52" spans="2:12" x14ac:dyDescent="0.25">
      <c r="B52" s="59" t="s">
        <v>508</v>
      </c>
      <c r="C52" s="59" t="s">
        <v>4</v>
      </c>
      <c r="D52" s="59" t="s">
        <v>524</v>
      </c>
      <c r="E52" s="59" t="s">
        <v>320</v>
      </c>
      <c r="F52" s="63">
        <v>3500</v>
      </c>
    </row>
    <row r="53" spans="2:12" x14ac:dyDescent="0.25">
      <c r="B53" s="59" t="s">
        <v>508</v>
      </c>
      <c r="C53" s="59" t="s">
        <v>4</v>
      </c>
      <c r="D53" s="59" t="s">
        <v>525</v>
      </c>
      <c r="E53" s="59" t="s">
        <v>320</v>
      </c>
      <c r="F53" s="63">
        <v>3500</v>
      </c>
      <c r="L53">
        <f>1950*12</f>
        <v>23400</v>
      </c>
    </row>
    <row r="54" spans="2:12" x14ac:dyDescent="0.25">
      <c r="B54" s="59" t="s">
        <v>508</v>
      </c>
      <c r="C54" s="59" t="s">
        <v>4</v>
      </c>
      <c r="D54" s="59" t="s">
        <v>526</v>
      </c>
      <c r="E54" s="59" t="s">
        <v>320</v>
      </c>
      <c r="F54" s="63">
        <v>3500</v>
      </c>
    </row>
    <row r="55" spans="2:12" x14ac:dyDescent="0.25">
      <c r="B55" s="59" t="s">
        <v>508</v>
      </c>
      <c r="C55" s="59" t="s">
        <v>4</v>
      </c>
      <c r="D55" s="59" t="s">
        <v>527</v>
      </c>
      <c r="E55" s="59" t="s">
        <v>320</v>
      </c>
      <c r="F55" s="63">
        <v>3500</v>
      </c>
    </row>
    <row r="56" spans="2:12" x14ac:dyDescent="0.25">
      <c r="B56" s="59" t="s">
        <v>508</v>
      </c>
      <c r="C56" s="59" t="s">
        <v>4</v>
      </c>
      <c r="D56" s="59" t="s">
        <v>528</v>
      </c>
      <c r="E56" s="59" t="s">
        <v>320</v>
      </c>
      <c r="F56" s="63">
        <v>3500</v>
      </c>
    </row>
    <row r="57" spans="2:12" x14ac:dyDescent="0.25">
      <c r="B57" s="59" t="s">
        <v>508</v>
      </c>
      <c r="C57" s="59" t="s">
        <v>4</v>
      </c>
      <c r="D57" s="59" t="s">
        <v>529</v>
      </c>
      <c r="E57" s="59" t="s">
        <v>320</v>
      </c>
      <c r="F57" s="63">
        <v>1950</v>
      </c>
    </row>
    <row r="58" spans="2:12" x14ac:dyDescent="0.25">
      <c r="B58" s="59" t="s">
        <v>508</v>
      </c>
      <c r="C58" s="59" t="s">
        <v>4</v>
      </c>
      <c r="D58" s="59" t="s">
        <v>530</v>
      </c>
      <c r="E58" s="59" t="s">
        <v>320</v>
      </c>
      <c r="F58" s="63">
        <v>1950</v>
      </c>
    </row>
    <row r="59" spans="2:12" x14ac:dyDescent="0.25">
      <c r="B59" s="59" t="s">
        <v>508</v>
      </c>
      <c r="C59" s="59" t="s">
        <v>4</v>
      </c>
      <c r="D59" s="59" t="s">
        <v>531</v>
      </c>
      <c r="E59" s="59" t="s">
        <v>320</v>
      </c>
      <c r="F59" s="63">
        <v>1950</v>
      </c>
    </row>
    <row r="60" spans="2:12" x14ac:dyDescent="0.25">
      <c r="B60" s="59" t="s">
        <v>508</v>
      </c>
      <c r="C60" s="59" t="s">
        <v>4</v>
      </c>
      <c r="D60" s="59" t="s">
        <v>532</v>
      </c>
      <c r="E60" s="59" t="s">
        <v>320</v>
      </c>
      <c r="F60" s="63">
        <v>1950</v>
      </c>
    </row>
    <row r="61" spans="2:12" x14ac:dyDescent="0.25">
      <c r="B61" s="59" t="s">
        <v>508</v>
      </c>
      <c r="C61" s="59" t="s">
        <v>4</v>
      </c>
      <c r="D61" s="59" t="s">
        <v>533</v>
      </c>
      <c r="E61" s="59" t="s">
        <v>320</v>
      </c>
      <c r="F61" s="63">
        <v>1950</v>
      </c>
    </row>
    <row r="62" spans="2:12" x14ac:dyDescent="0.25">
      <c r="B62" s="59" t="s">
        <v>508</v>
      </c>
      <c r="C62" s="59" t="s">
        <v>4</v>
      </c>
      <c r="D62" s="59" t="s">
        <v>534</v>
      </c>
      <c r="E62" s="59" t="s">
        <v>320</v>
      </c>
      <c r="F62" s="63">
        <v>1950</v>
      </c>
    </row>
    <row r="63" spans="2:12" x14ac:dyDescent="0.25">
      <c r="B63" s="59" t="s">
        <v>508</v>
      </c>
      <c r="C63" s="59" t="s">
        <v>1</v>
      </c>
      <c r="D63" s="59" t="s">
        <v>464</v>
      </c>
      <c r="E63" s="59" t="s">
        <v>320</v>
      </c>
      <c r="F63" s="63">
        <v>1600</v>
      </c>
    </row>
    <row r="64" spans="2:12" x14ac:dyDescent="0.25">
      <c r="B64" s="59" t="s">
        <v>508</v>
      </c>
      <c r="C64" s="59" t="s">
        <v>1</v>
      </c>
      <c r="D64" s="59" t="s">
        <v>465</v>
      </c>
      <c r="E64" s="59" t="s">
        <v>320</v>
      </c>
      <c r="F64" s="63">
        <v>1600</v>
      </c>
    </row>
    <row r="65" spans="2:8" x14ac:dyDescent="0.25">
      <c r="B65" s="59" t="s">
        <v>508</v>
      </c>
      <c r="C65" s="59" t="s">
        <v>4</v>
      </c>
      <c r="D65" s="59" t="s">
        <v>468</v>
      </c>
      <c r="E65" s="59" t="s">
        <v>320</v>
      </c>
      <c r="F65" s="63">
        <v>1400</v>
      </c>
    </row>
    <row r="66" spans="2:8" x14ac:dyDescent="0.25">
      <c r="B66" s="59" t="s">
        <v>508</v>
      </c>
      <c r="C66" s="59" t="s">
        <v>4</v>
      </c>
      <c r="D66" s="59" t="s">
        <v>462</v>
      </c>
      <c r="E66" s="59" t="s">
        <v>320</v>
      </c>
      <c r="F66" s="63">
        <v>1400</v>
      </c>
    </row>
    <row r="67" spans="2:8" x14ac:dyDescent="0.25">
      <c r="B67" s="59" t="s">
        <v>508</v>
      </c>
      <c r="C67" s="59" t="s">
        <v>1</v>
      </c>
      <c r="D67" s="59" t="s">
        <v>463</v>
      </c>
      <c r="E67" s="59" t="s">
        <v>320</v>
      </c>
      <c r="F67" s="63">
        <v>1400</v>
      </c>
    </row>
    <row r="68" spans="2:8" x14ac:dyDescent="0.25">
      <c r="B68" s="59" t="s">
        <v>508</v>
      </c>
      <c r="C68" s="59" t="s">
        <v>1</v>
      </c>
      <c r="D68" s="59" t="s">
        <v>535</v>
      </c>
      <c r="E68" s="59" t="s">
        <v>320</v>
      </c>
      <c r="F68" s="63">
        <v>1400</v>
      </c>
      <c r="G68">
        <v>6</v>
      </c>
      <c r="H68" s="41">
        <f>+G68*F68</f>
        <v>8400</v>
      </c>
    </row>
    <row r="69" spans="2:8" x14ac:dyDescent="0.25">
      <c r="B69" s="59" t="s">
        <v>508</v>
      </c>
      <c r="C69" s="59" t="s">
        <v>1</v>
      </c>
      <c r="D69" s="59" t="s">
        <v>466</v>
      </c>
      <c r="E69" s="59" t="s">
        <v>320</v>
      </c>
      <c r="F69" s="63">
        <v>1400</v>
      </c>
    </row>
    <row r="70" spans="2:8" x14ac:dyDescent="0.25">
      <c r="B70" s="59" t="s">
        <v>508</v>
      </c>
      <c r="C70" s="59" t="s">
        <v>1</v>
      </c>
      <c r="D70" s="59" t="s">
        <v>536</v>
      </c>
      <c r="E70" s="59" t="s">
        <v>320</v>
      </c>
      <c r="F70" s="63">
        <v>1400</v>
      </c>
    </row>
    <row r="71" spans="2:8" x14ac:dyDescent="0.25">
      <c r="B71" s="59" t="s">
        <v>508</v>
      </c>
      <c r="C71" s="59" t="s">
        <v>1</v>
      </c>
      <c r="D71" s="59" t="s">
        <v>537</v>
      </c>
      <c r="E71" s="59" t="s">
        <v>320</v>
      </c>
      <c r="F71" s="63">
        <v>1500</v>
      </c>
    </row>
    <row r="72" spans="2:8" x14ac:dyDescent="0.25">
      <c r="B72" s="59" t="s">
        <v>508</v>
      </c>
      <c r="C72" s="59" t="s">
        <v>1</v>
      </c>
      <c r="D72" s="59" t="s">
        <v>538</v>
      </c>
      <c r="E72" s="59" t="s">
        <v>320</v>
      </c>
      <c r="F72" s="63">
        <v>1200</v>
      </c>
    </row>
    <row r="73" spans="2:8" x14ac:dyDescent="0.25">
      <c r="B73" s="59" t="s">
        <v>508</v>
      </c>
      <c r="C73" s="59" t="s">
        <v>1</v>
      </c>
      <c r="D73" s="59" t="s">
        <v>551</v>
      </c>
      <c r="E73" s="59" t="s">
        <v>320</v>
      </c>
      <c r="F73" s="63">
        <v>1200</v>
      </c>
    </row>
    <row r="74" spans="2:8" x14ac:dyDescent="0.25">
      <c r="B74" s="59" t="s">
        <v>508</v>
      </c>
      <c r="C74" s="59" t="s">
        <v>1</v>
      </c>
      <c r="D74" s="59" t="s">
        <v>539</v>
      </c>
      <c r="E74" s="59" t="s">
        <v>320</v>
      </c>
      <c r="F74" s="63">
        <v>1200</v>
      </c>
    </row>
    <row r="75" spans="2:8" x14ac:dyDescent="0.25">
      <c r="B75" s="59" t="s">
        <v>508</v>
      </c>
      <c r="C75" s="59" t="s">
        <v>1</v>
      </c>
      <c r="D75" s="59" t="s">
        <v>540</v>
      </c>
      <c r="E75" s="59" t="s">
        <v>320</v>
      </c>
      <c r="F75" s="63">
        <v>1500</v>
      </c>
    </row>
    <row r="76" spans="2:8" x14ac:dyDescent="0.25">
      <c r="B76" s="59" t="s">
        <v>508</v>
      </c>
      <c r="C76" s="59" t="s">
        <v>1</v>
      </c>
      <c r="D76" s="59" t="s">
        <v>541</v>
      </c>
      <c r="E76" s="59" t="s">
        <v>320</v>
      </c>
      <c r="F76" s="63">
        <v>1680</v>
      </c>
    </row>
    <row r="77" spans="2:8" x14ac:dyDescent="0.25">
      <c r="B77" s="59" t="s">
        <v>508</v>
      </c>
      <c r="C77" s="59" t="s">
        <v>1</v>
      </c>
      <c r="D77" s="59" t="s">
        <v>542</v>
      </c>
      <c r="E77" s="59" t="s">
        <v>320</v>
      </c>
      <c r="F77" s="63">
        <v>1680</v>
      </c>
    </row>
    <row r="78" spans="2:8" x14ac:dyDescent="0.25">
      <c r="B78" s="59" t="s">
        <v>508</v>
      </c>
      <c r="C78" s="59" t="s">
        <v>4</v>
      </c>
      <c r="D78" s="59" t="s">
        <v>543</v>
      </c>
      <c r="E78" s="59" t="s">
        <v>320</v>
      </c>
      <c r="F78" s="63">
        <v>1600</v>
      </c>
    </row>
    <row r="79" spans="2:8" x14ac:dyDescent="0.25">
      <c r="B79" s="59" t="s">
        <v>508</v>
      </c>
      <c r="C79" s="59" t="s">
        <v>4</v>
      </c>
      <c r="D79" s="59" t="s">
        <v>544</v>
      </c>
      <c r="E79" s="59" t="s">
        <v>320</v>
      </c>
      <c r="F79" s="63">
        <v>1600</v>
      </c>
    </row>
    <row r="80" spans="2:8" x14ac:dyDescent="0.25">
      <c r="B80" s="59" t="s">
        <v>508</v>
      </c>
      <c r="C80" s="59" t="s">
        <v>4</v>
      </c>
      <c r="D80" s="59" t="s">
        <v>545</v>
      </c>
      <c r="E80" s="59" t="s">
        <v>320</v>
      </c>
      <c r="F80" s="63">
        <v>1600</v>
      </c>
    </row>
    <row r="81" spans="2:11" x14ac:dyDescent="0.25">
      <c r="B81" s="59" t="s">
        <v>508</v>
      </c>
      <c r="C81" s="59" t="s">
        <v>1</v>
      </c>
      <c r="D81" s="59" t="s">
        <v>546</v>
      </c>
      <c r="E81" s="59" t="s">
        <v>320</v>
      </c>
      <c r="F81" s="63">
        <v>1200</v>
      </c>
    </row>
    <row r="82" spans="2:11" x14ac:dyDescent="0.25">
      <c r="B82" s="59" t="s">
        <v>508</v>
      </c>
      <c r="C82" s="59" t="s">
        <v>1</v>
      </c>
      <c r="D82" s="59" t="s">
        <v>580</v>
      </c>
      <c r="E82" s="59" t="s">
        <v>320</v>
      </c>
      <c r="F82" s="63">
        <v>600</v>
      </c>
    </row>
    <row r="83" spans="2:11" x14ac:dyDescent="0.25">
      <c r="B83" s="59" t="s">
        <v>508</v>
      </c>
      <c r="C83" s="59" t="s">
        <v>4</v>
      </c>
      <c r="D83" s="59" t="s">
        <v>580</v>
      </c>
      <c r="E83" s="59" t="s">
        <v>320</v>
      </c>
      <c r="F83" s="63">
        <v>600</v>
      </c>
    </row>
    <row r="85" spans="2:11" x14ac:dyDescent="0.25">
      <c r="B85" s="59" t="s">
        <v>49</v>
      </c>
      <c r="C85" s="59" t="s">
        <v>4</v>
      </c>
      <c r="D85" s="59" t="s">
        <v>603</v>
      </c>
      <c r="E85" s="59" t="s">
        <v>488</v>
      </c>
      <c r="F85" s="10">
        <f>+I85*24</f>
        <v>9840</v>
      </c>
      <c r="I85" s="9">
        <v>410</v>
      </c>
    </row>
    <row r="86" spans="2:11" x14ac:dyDescent="0.25">
      <c r="B86" s="59" t="s">
        <v>49</v>
      </c>
      <c r="C86" s="59" t="s">
        <v>1</v>
      </c>
      <c r="D86" s="59" t="s">
        <v>604</v>
      </c>
      <c r="E86" s="59" t="s">
        <v>488</v>
      </c>
      <c r="F86" s="10">
        <f>+I86*24</f>
        <v>10320</v>
      </c>
      <c r="I86" s="9">
        <v>430</v>
      </c>
      <c r="K86">
        <f>+I86*12</f>
        <v>5160</v>
      </c>
    </row>
    <row r="87" spans="2:11" x14ac:dyDescent="0.25">
      <c r="B87" s="59" t="s">
        <v>49</v>
      </c>
      <c r="C87" s="59" t="s">
        <v>4</v>
      </c>
      <c r="D87" s="59" t="s">
        <v>751</v>
      </c>
      <c r="E87" s="59" t="s">
        <v>488</v>
      </c>
      <c r="F87" s="10">
        <f>+I87*24</f>
        <v>25200</v>
      </c>
      <c r="H87">
        <f>+F87/24</f>
        <v>1050</v>
      </c>
      <c r="I87" s="9">
        <v>1050</v>
      </c>
    </row>
    <row r="88" spans="2:11" x14ac:dyDescent="0.25">
      <c r="B88" s="59" t="s">
        <v>49</v>
      </c>
      <c r="C88" s="59" t="s">
        <v>1</v>
      </c>
      <c r="D88" s="59" t="s">
        <v>752</v>
      </c>
      <c r="E88" s="59" t="s">
        <v>488</v>
      </c>
      <c r="F88" s="10">
        <f>+I88*24</f>
        <v>25200</v>
      </c>
      <c r="I88" s="9">
        <v>1050</v>
      </c>
    </row>
    <row r="91" spans="2:11" x14ac:dyDescent="0.25">
      <c r="C91" s="2" t="s">
        <v>4</v>
      </c>
      <c r="D91" s="59" t="s">
        <v>669</v>
      </c>
      <c r="E91" s="10">
        <v>1800</v>
      </c>
      <c r="F91" s="10">
        <v>2000</v>
      </c>
    </row>
    <row r="92" spans="2:11" x14ac:dyDescent="0.25">
      <c r="C92" s="2" t="s">
        <v>1</v>
      </c>
      <c r="D92" s="59" t="s">
        <v>670</v>
      </c>
      <c r="E92" s="10">
        <v>11500</v>
      </c>
      <c r="F92" s="10">
        <v>13000</v>
      </c>
    </row>
    <row r="94" spans="2:11" x14ac:dyDescent="0.25">
      <c r="C94" s="2" t="s">
        <v>1</v>
      </c>
      <c r="D94" s="2" t="s">
        <v>671</v>
      </c>
      <c r="E94" s="2" t="s">
        <v>488</v>
      </c>
      <c r="F94" s="111">
        <v>6500</v>
      </c>
    </row>
    <row r="96" spans="2:11" x14ac:dyDescent="0.25">
      <c r="C96" s="2" t="s">
        <v>4</v>
      </c>
      <c r="D96" s="2" t="s">
        <v>703</v>
      </c>
      <c r="E96" s="2" t="s">
        <v>320</v>
      </c>
      <c r="F96" s="10">
        <v>850</v>
      </c>
    </row>
  </sheetData>
  <pageMargins left="1" right="1" top="1" bottom="1" header="0.5" footer="0.5"/>
  <pageSetup scale="51" fitToHeight="0"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B2:L86"/>
  <sheetViews>
    <sheetView zoomScaleNormal="100" workbookViewId="0">
      <selection activeCell="I21" sqref="I21"/>
    </sheetView>
  </sheetViews>
  <sheetFormatPr defaultColWidth="11.42578125" defaultRowHeight="15" x14ac:dyDescent="0.25"/>
  <cols>
    <col min="1" max="1" width="5.5703125" customWidth="1"/>
    <col min="2" max="2" width="13.28515625" bestFit="1" customWidth="1"/>
    <col min="3" max="3" width="12.5703125" bestFit="1" customWidth="1"/>
    <col min="4" max="4" width="37" bestFit="1" customWidth="1"/>
    <col min="5" max="5" width="12.85546875" bestFit="1" customWidth="1"/>
    <col min="6" max="6" width="13.42578125" bestFit="1" customWidth="1"/>
    <col min="7" max="7" width="4.7109375" customWidth="1"/>
    <col min="8" max="8" width="5" customWidth="1"/>
    <col min="9" max="9" width="22" bestFit="1" customWidth="1"/>
    <col min="10" max="10" width="27" bestFit="1" customWidth="1"/>
  </cols>
  <sheetData>
    <row r="2" spans="2:12" ht="18.75" x14ac:dyDescent="0.3">
      <c r="B2" s="14" t="s">
        <v>192</v>
      </c>
      <c r="C2" s="14" t="s">
        <v>247</v>
      </c>
      <c r="D2" s="15" t="s">
        <v>248</v>
      </c>
      <c r="E2" s="15" t="s">
        <v>193</v>
      </c>
      <c r="F2" s="68" t="s">
        <v>194</v>
      </c>
      <c r="G2" s="15"/>
      <c r="H2" s="15"/>
      <c r="I2" s="16" t="s">
        <v>250</v>
      </c>
      <c r="J2" s="15" t="s">
        <v>251</v>
      </c>
    </row>
    <row r="3" spans="2:12" x14ac:dyDescent="0.25">
      <c r="B3" s="140" t="s">
        <v>397</v>
      </c>
      <c r="C3" s="142" t="s">
        <v>4</v>
      </c>
      <c r="D3" s="2" t="s">
        <v>391</v>
      </c>
      <c r="E3" s="2" t="s">
        <v>364</v>
      </c>
      <c r="F3" s="10">
        <v>32700</v>
      </c>
      <c r="G3" s="10"/>
      <c r="H3" s="10"/>
      <c r="I3" s="10"/>
      <c r="J3" s="10"/>
      <c r="L3">
        <f>7600+17000</f>
        <v>24600</v>
      </c>
    </row>
    <row r="4" spans="2:12" x14ac:dyDescent="0.25">
      <c r="B4" s="140"/>
      <c r="C4" s="142"/>
      <c r="D4" s="2" t="s">
        <v>392</v>
      </c>
      <c r="E4" s="2" t="s">
        <v>364</v>
      </c>
      <c r="F4" s="10">
        <v>32700</v>
      </c>
      <c r="G4" s="10"/>
      <c r="H4" s="10"/>
      <c r="I4" s="10"/>
      <c r="J4" s="10"/>
    </row>
    <row r="5" spans="2:12" x14ac:dyDescent="0.25">
      <c r="B5" s="140"/>
      <c r="C5" s="142"/>
      <c r="D5" s="2" t="s">
        <v>393</v>
      </c>
      <c r="E5" s="2" t="s">
        <v>364</v>
      </c>
      <c r="F5" s="10">
        <v>32700</v>
      </c>
      <c r="G5" s="10"/>
      <c r="H5" s="10"/>
      <c r="I5" s="10"/>
      <c r="J5" s="10"/>
    </row>
    <row r="6" spans="2:12" x14ac:dyDescent="0.25">
      <c r="B6" s="140"/>
      <c r="C6" s="142"/>
      <c r="D6" s="2" t="s">
        <v>394</v>
      </c>
      <c r="E6" s="2" t="s">
        <v>364</v>
      </c>
      <c r="F6" s="10">
        <v>32700</v>
      </c>
      <c r="G6" s="10"/>
      <c r="H6" s="10"/>
      <c r="I6" s="10"/>
      <c r="J6" s="10"/>
    </row>
    <row r="7" spans="2:12" x14ac:dyDescent="0.25">
      <c r="B7" s="140"/>
      <c r="C7" s="142"/>
      <c r="D7" s="2" t="s">
        <v>395</v>
      </c>
      <c r="E7" s="2" t="s">
        <v>364</v>
      </c>
      <c r="F7" s="10">
        <v>32700</v>
      </c>
      <c r="G7" s="10"/>
      <c r="H7" s="10"/>
      <c r="I7" s="10"/>
      <c r="J7" s="10"/>
    </row>
    <row r="8" spans="2:12" x14ac:dyDescent="0.25">
      <c r="B8" s="140"/>
      <c r="C8" s="142" t="s">
        <v>1</v>
      </c>
      <c r="D8" s="2" t="s">
        <v>396</v>
      </c>
      <c r="E8" s="2" t="s">
        <v>364</v>
      </c>
      <c r="F8" s="10">
        <v>32700</v>
      </c>
      <c r="G8" s="10"/>
      <c r="H8" s="10"/>
      <c r="I8" s="10"/>
      <c r="J8" s="10"/>
    </row>
    <row r="9" spans="2:12" x14ac:dyDescent="0.25">
      <c r="B9" s="140"/>
      <c r="C9" s="142"/>
      <c r="D9" s="2" t="s">
        <v>396</v>
      </c>
      <c r="E9" s="2" t="s">
        <v>371</v>
      </c>
      <c r="F9" s="10">
        <v>22000</v>
      </c>
      <c r="G9" s="10"/>
      <c r="H9" s="10"/>
      <c r="I9" s="10"/>
      <c r="J9" s="10"/>
    </row>
    <row r="10" spans="2:12" x14ac:dyDescent="0.25">
      <c r="F10" s="9"/>
      <c r="G10" s="9"/>
      <c r="H10" s="9"/>
      <c r="I10" s="9"/>
      <c r="J10" s="9"/>
    </row>
    <row r="11" spans="2:12" ht="15" customHeight="1" x14ac:dyDescent="0.25">
      <c r="B11" s="144" t="s">
        <v>398</v>
      </c>
      <c r="C11" s="142" t="s">
        <v>4</v>
      </c>
      <c r="D11" s="2" t="s">
        <v>399</v>
      </c>
      <c r="E11" s="2" t="s">
        <v>41</v>
      </c>
      <c r="F11" s="10">
        <v>45000</v>
      </c>
      <c r="G11" s="10"/>
      <c r="H11" s="10"/>
      <c r="I11" s="42"/>
      <c r="J11" s="10"/>
    </row>
    <row r="12" spans="2:12" ht="15" customHeight="1" x14ac:dyDescent="0.25">
      <c r="B12" s="145"/>
      <c r="C12" s="142"/>
      <c r="D12" s="2" t="s">
        <v>400</v>
      </c>
      <c r="E12" s="2" t="s">
        <v>41</v>
      </c>
      <c r="F12" s="10">
        <v>45000</v>
      </c>
      <c r="G12" s="10"/>
      <c r="H12" s="10"/>
      <c r="I12" s="42"/>
      <c r="J12" s="10"/>
    </row>
    <row r="13" spans="2:12" ht="15" customHeight="1" x14ac:dyDescent="0.25">
      <c r="B13" s="145"/>
      <c r="C13" s="142"/>
      <c r="D13" s="2" t="s">
        <v>401</v>
      </c>
      <c r="E13" s="2" t="s">
        <v>41</v>
      </c>
      <c r="F13" s="10">
        <v>45000</v>
      </c>
      <c r="G13" s="10"/>
      <c r="H13" s="10"/>
      <c r="I13" s="42"/>
      <c r="J13" s="10"/>
    </row>
    <row r="14" spans="2:12" ht="15" customHeight="1" x14ac:dyDescent="0.25">
      <c r="B14" s="145"/>
      <c r="C14" s="142"/>
      <c r="D14" s="2" t="s">
        <v>402</v>
      </c>
      <c r="E14" s="2" t="s">
        <v>41</v>
      </c>
      <c r="F14" s="10">
        <v>49500</v>
      </c>
      <c r="G14" s="10"/>
      <c r="H14" s="10"/>
      <c r="I14" s="42"/>
      <c r="J14" s="10"/>
    </row>
    <row r="15" spans="2:12" ht="15" customHeight="1" x14ac:dyDescent="0.25">
      <c r="B15" s="145"/>
      <c r="C15" s="142"/>
      <c r="D15" s="2" t="s">
        <v>403</v>
      </c>
      <c r="E15" s="2" t="s">
        <v>41</v>
      </c>
      <c r="F15" s="10">
        <v>49000</v>
      </c>
      <c r="G15" s="10"/>
      <c r="H15" s="10"/>
      <c r="I15" s="42"/>
      <c r="J15" s="10"/>
    </row>
    <row r="16" spans="2:12" x14ac:dyDescent="0.25">
      <c r="B16" s="146"/>
      <c r="C16" s="142"/>
      <c r="D16" s="2" t="s">
        <v>441</v>
      </c>
      <c r="E16" s="2" t="s">
        <v>440</v>
      </c>
      <c r="F16" s="10">
        <v>48000</v>
      </c>
      <c r="G16" s="10"/>
      <c r="H16" s="10"/>
      <c r="I16" s="9"/>
      <c r="J16" s="9"/>
    </row>
    <row r="17" spans="2:10" x14ac:dyDescent="0.25">
      <c r="F17" s="9"/>
      <c r="G17" s="9"/>
      <c r="H17" s="9"/>
      <c r="I17" s="9"/>
      <c r="J17" s="9"/>
    </row>
    <row r="18" spans="2:10" x14ac:dyDescent="0.25">
      <c r="B18" s="144" t="s">
        <v>437</v>
      </c>
      <c r="C18" s="164" t="s">
        <v>438</v>
      </c>
      <c r="D18" s="2" t="s">
        <v>439</v>
      </c>
      <c r="E18" s="2" t="s">
        <v>3</v>
      </c>
      <c r="F18" s="10">
        <v>23300</v>
      </c>
      <c r="G18" s="10"/>
      <c r="H18" s="10"/>
      <c r="I18" s="9"/>
      <c r="J18" s="9"/>
    </row>
    <row r="19" spans="2:10" x14ac:dyDescent="0.25">
      <c r="B19" s="146"/>
      <c r="C19" s="166"/>
      <c r="D19" s="2" t="s">
        <v>439</v>
      </c>
      <c r="E19" s="2" t="s">
        <v>88</v>
      </c>
      <c r="F19" s="10">
        <v>3900</v>
      </c>
      <c r="G19" s="10"/>
      <c r="H19" s="10"/>
      <c r="I19" s="9"/>
      <c r="J19" s="9"/>
    </row>
    <row r="20" spans="2:10" x14ac:dyDescent="0.25">
      <c r="F20" s="9"/>
      <c r="G20" s="9"/>
      <c r="H20" s="9"/>
      <c r="I20" s="9"/>
      <c r="J20" s="9"/>
    </row>
    <row r="21" spans="2:10" x14ac:dyDescent="0.25">
      <c r="B21" s="167" t="s">
        <v>398</v>
      </c>
      <c r="C21" s="142" t="s">
        <v>1</v>
      </c>
      <c r="D21" s="2" t="s">
        <v>491</v>
      </c>
      <c r="E21" s="2" t="s">
        <v>191</v>
      </c>
      <c r="F21" s="10">
        <v>32500</v>
      </c>
      <c r="G21" s="10"/>
      <c r="H21" s="9"/>
      <c r="I21" s="9"/>
      <c r="J21" s="9"/>
    </row>
    <row r="22" spans="2:10" x14ac:dyDescent="0.25">
      <c r="B22" s="167"/>
      <c r="C22" s="142"/>
      <c r="D22" s="2" t="s">
        <v>491</v>
      </c>
      <c r="E22" s="2" t="s">
        <v>84</v>
      </c>
      <c r="F22" s="10">
        <v>9800</v>
      </c>
      <c r="G22" s="10"/>
      <c r="H22" s="9"/>
      <c r="I22" s="9"/>
      <c r="J22" s="9"/>
    </row>
    <row r="23" spans="2:10" x14ac:dyDescent="0.25">
      <c r="B23" s="167"/>
      <c r="C23" s="142"/>
      <c r="D23" s="2" t="s">
        <v>492</v>
      </c>
      <c r="E23" s="2" t="s">
        <v>191</v>
      </c>
      <c r="F23" s="10">
        <v>32500</v>
      </c>
      <c r="G23" s="10"/>
      <c r="H23" s="9"/>
      <c r="I23" s="9"/>
      <c r="J23" s="9"/>
    </row>
    <row r="24" spans="2:10" x14ac:dyDescent="0.25">
      <c r="B24" s="167"/>
      <c r="C24" s="142"/>
      <c r="D24" s="2" t="s">
        <v>492</v>
      </c>
      <c r="E24" s="2" t="s">
        <v>84</v>
      </c>
      <c r="F24" s="10">
        <v>9800</v>
      </c>
      <c r="G24" s="10"/>
      <c r="H24" s="9"/>
      <c r="I24" s="9"/>
      <c r="J24" s="9"/>
    </row>
    <row r="25" spans="2:10" x14ac:dyDescent="0.25">
      <c r="F25" s="9"/>
      <c r="G25" s="9"/>
      <c r="H25" s="9"/>
      <c r="I25" s="9"/>
      <c r="J25" s="9"/>
    </row>
    <row r="26" spans="2:10" ht="15" customHeight="1" x14ac:dyDescent="0.25">
      <c r="B26" s="140" t="s">
        <v>398</v>
      </c>
      <c r="C26" s="142" t="s">
        <v>4</v>
      </c>
      <c r="D26" s="2" t="s">
        <v>493</v>
      </c>
      <c r="E26" s="2" t="s">
        <v>189</v>
      </c>
      <c r="F26" s="10">
        <v>19500</v>
      </c>
      <c r="G26" s="10"/>
      <c r="H26" s="9"/>
      <c r="I26" s="9"/>
      <c r="J26" s="9"/>
    </row>
    <row r="27" spans="2:10" ht="15" customHeight="1" x14ac:dyDescent="0.25">
      <c r="B27" s="140"/>
      <c r="C27" s="142"/>
      <c r="D27" s="2" t="s">
        <v>494</v>
      </c>
      <c r="E27" s="2" t="s">
        <v>189</v>
      </c>
      <c r="F27" s="10">
        <v>19500</v>
      </c>
      <c r="G27" s="10"/>
      <c r="H27" s="9"/>
      <c r="I27" s="9"/>
      <c r="J27" s="9"/>
    </row>
    <row r="28" spans="2:10" ht="15" customHeight="1" x14ac:dyDescent="0.25">
      <c r="B28" s="140"/>
      <c r="C28" s="142"/>
      <c r="D28" s="2" t="s">
        <v>495</v>
      </c>
      <c r="E28" s="2" t="s">
        <v>189</v>
      </c>
      <c r="F28" s="10">
        <v>19500</v>
      </c>
      <c r="G28" s="10"/>
      <c r="H28" s="9"/>
      <c r="I28" s="9"/>
      <c r="J28" s="9"/>
    </row>
    <row r="29" spans="2:10" ht="15" customHeight="1" x14ac:dyDescent="0.25">
      <c r="F29" s="9"/>
      <c r="G29" s="9"/>
      <c r="H29" s="9"/>
      <c r="I29" s="9"/>
      <c r="J29" s="9"/>
    </row>
    <row r="30" spans="2:10" ht="15" customHeight="1" x14ac:dyDescent="0.25">
      <c r="F30" s="9"/>
      <c r="G30" s="9"/>
      <c r="H30" s="9"/>
      <c r="I30" s="9"/>
      <c r="J30" s="9"/>
    </row>
    <row r="31" spans="2:10" ht="15" customHeight="1" x14ac:dyDescent="0.25">
      <c r="F31" s="9"/>
      <c r="G31" s="9"/>
      <c r="H31" s="9"/>
      <c r="I31" s="9"/>
      <c r="J31" s="9"/>
    </row>
    <row r="32" spans="2:10" x14ac:dyDescent="0.25">
      <c r="F32" s="9"/>
      <c r="G32" s="9"/>
      <c r="H32" s="9"/>
      <c r="I32" s="9"/>
      <c r="J32" s="9"/>
    </row>
    <row r="33" spans="6:10" x14ac:dyDescent="0.25">
      <c r="F33" s="9"/>
      <c r="G33" s="9"/>
      <c r="H33" s="9"/>
      <c r="I33" s="9"/>
      <c r="J33" s="9"/>
    </row>
    <row r="34" spans="6:10" x14ac:dyDescent="0.25">
      <c r="F34" s="9"/>
      <c r="G34" s="9"/>
      <c r="H34" s="9"/>
      <c r="I34" s="9"/>
      <c r="J34" s="9"/>
    </row>
    <row r="35" spans="6:10" x14ac:dyDescent="0.25">
      <c r="F35" s="9"/>
      <c r="G35" s="9"/>
      <c r="H35" s="9"/>
      <c r="I35" s="9"/>
      <c r="J35" s="9"/>
    </row>
    <row r="36" spans="6:10" x14ac:dyDescent="0.25">
      <c r="F36" s="9"/>
      <c r="G36" s="9"/>
      <c r="H36" s="9"/>
      <c r="I36" s="9"/>
      <c r="J36" s="9"/>
    </row>
    <row r="37" spans="6:10" x14ac:dyDescent="0.25">
      <c r="F37" s="9"/>
      <c r="G37" s="9"/>
      <c r="H37" s="9"/>
      <c r="I37" s="9"/>
      <c r="J37" s="9"/>
    </row>
    <row r="38" spans="6:10" x14ac:dyDescent="0.25">
      <c r="F38" s="9"/>
      <c r="G38" s="9"/>
      <c r="H38" s="9"/>
      <c r="I38" s="9"/>
      <c r="J38" s="9"/>
    </row>
    <row r="39" spans="6:10" x14ac:dyDescent="0.25">
      <c r="F39" s="9"/>
      <c r="G39" s="9"/>
      <c r="H39" s="9"/>
      <c r="I39" s="9"/>
      <c r="J39" s="9"/>
    </row>
    <row r="40" spans="6:10" x14ac:dyDescent="0.25">
      <c r="F40" s="9"/>
      <c r="G40" s="9"/>
      <c r="H40" s="9"/>
      <c r="I40" s="9"/>
      <c r="J40" s="9"/>
    </row>
    <row r="41" spans="6:10" x14ac:dyDescent="0.25">
      <c r="F41" s="9"/>
      <c r="G41" s="9"/>
      <c r="H41" s="9"/>
      <c r="I41" s="9"/>
      <c r="J41" s="9"/>
    </row>
    <row r="42" spans="6:10" x14ac:dyDescent="0.25">
      <c r="F42" s="9"/>
      <c r="G42" s="9"/>
      <c r="H42" s="9"/>
      <c r="I42" s="9"/>
      <c r="J42" s="9"/>
    </row>
    <row r="43" spans="6:10" x14ac:dyDescent="0.25">
      <c r="F43" s="9"/>
      <c r="G43" s="9"/>
      <c r="H43" s="9"/>
      <c r="I43" s="9"/>
      <c r="J43" s="9"/>
    </row>
    <row r="44" spans="6:10" x14ac:dyDescent="0.25">
      <c r="F44" s="9"/>
      <c r="G44" s="9"/>
      <c r="H44" s="9"/>
      <c r="I44" s="9"/>
      <c r="J44" s="9"/>
    </row>
    <row r="45" spans="6:10" x14ac:dyDescent="0.25">
      <c r="F45" s="9"/>
      <c r="G45" s="9"/>
      <c r="H45" s="9"/>
      <c r="I45" s="9"/>
      <c r="J45" s="9"/>
    </row>
    <row r="46" spans="6:10" x14ac:dyDescent="0.25">
      <c r="F46" s="9"/>
      <c r="G46" s="9"/>
      <c r="H46" s="9"/>
      <c r="I46" s="9"/>
      <c r="J46" s="9"/>
    </row>
    <row r="47" spans="6:10" x14ac:dyDescent="0.25">
      <c r="F47" s="9"/>
      <c r="G47" s="9"/>
      <c r="H47" s="9"/>
      <c r="I47" s="9"/>
      <c r="J47" s="9"/>
    </row>
    <row r="48" spans="6:10" x14ac:dyDescent="0.25">
      <c r="F48" s="9"/>
      <c r="G48" s="9"/>
      <c r="H48" s="9"/>
      <c r="I48" s="9"/>
      <c r="J48" s="9"/>
    </row>
    <row r="49" spans="6:10" x14ac:dyDescent="0.25">
      <c r="F49" s="9"/>
      <c r="G49" s="9"/>
      <c r="H49" s="9"/>
      <c r="I49" s="9"/>
      <c r="J49" s="9"/>
    </row>
    <row r="50" spans="6:10" x14ac:dyDescent="0.25">
      <c r="F50" s="9"/>
      <c r="G50" s="9"/>
      <c r="H50" s="9"/>
      <c r="I50" s="9"/>
      <c r="J50" s="9"/>
    </row>
    <row r="51" spans="6:10" x14ac:dyDescent="0.25">
      <c r="F51" s="9"/>
      <c r="G51" s="9"/>
      <c r="H51" s="9"/>
      <c r="I51" s="9"/>
      <c r="J51" s="9"/>
    </row>
    <row r="52" spans="6:10" x14ac:dyDescent="0.25">
      <c r="F52" s="9"/>
      <c r="G52" s="9"/>
      <c r="H52" s="9"/>
      <c r="I52" s="9"/>
      <c r="J52" s="9"/>
    </row>
    <row r="53" spans="6:10" x14ac:dyDescent="0.25">
      <c r="F53" s="9"/>
      <c r="G53" s="9"/>
      <c r="H53" s="9"/>
      <c r="I53" s="9"/>
      <c r="J53" s="9"/>
    </row>
    <row r="54" spans="6:10" x14ac:dyDescent="0.25">
      <c r="F54" s="9"/>
      <c r="G54" s="9"/>
      <c r="H54" s="9"/>
      <c r="I54" s="9"/>
      <c r="J54" s="9"/>
    </row>
    <row r="55" spans="6:10" x14ac:dyDescent="0.25">
      <c r="F55" s="9"/>
      <c r="G55" s="9"/>
      <c r="H55" s="9"/>
      <c r="I55" s="9"/>
      <c r="J55" s="9"/>
    </row>
    <row r="56" spans="6:10" x14ac:dyDescent="0.25">
      <c r="F56" s="9"/>
      <c r="G56" s="9"/>
      <c r="H56" s="9"/>
      <c r="I56" s="9"/>
      <c r="J56" s="9"/>
    </row>
    <row r="57" spans="6:10" x14ac:dyDescent="0.25">
      <c r="F57" s="9"/>
      <c r="G57" s="9"/>
      <c r="H57" s="9"/>
      <c r="I57" s="9"/>
      <c r="J57" s="9"/>
    </row>
    <row r="58" spans="6:10" x14ac:dyDescent="0.25">
      <c r="F58" s="9"/>
      <c r="G58" s="9"/>
      <c r="H58" s="9"/>
      <c r="I58" s="9"/>
      <c r="J58" s="9"/>
    </row>
    <row r="59" spans="6:10" x14ac:dyDescent="0.25">
      <c r="F59" s="9"/>
      <c r="G59" s="9"/>
      <c r="H59" s="9"/>
      <c r="I59" s="9"/>
      <c r="J59" s="9"/>
    </row>
    <row r="60" spans="6:10" x14ac:dyDescent="0.25">
      <c r="F60" s="9"/>
      <c r="G60" s="9"/>
      <c r="H60" s="9"/>
      <c r="I60" s="9"/>
      <c r="J60" s="9"/>
    </row>
    <row r="61" spans="6:10" x14ac:dyDescent="0.25">
      <c r="F61" s="9"/>
      <c r="G61" s="9"/>
      <c r="H61" s="9"/>
      <c r="I61" s="9"/>
      <c r="J61" s="9"/>
    </row>
    <row r="62" spans="6:10" x14ac:dyDescent="0.25">
      <c r="F62" s="9"/>
      <c r="G62" s="9"/>
      <c r="H62" s="9"/>
      <c r="I62" s="9"/>
      <c r="J62" s="9"/>
    </row>
    <row r="63" spans="6:10" x14ac:dyDescent="0.25">
      <c r="F63" s="9"/>
      <c r="G63" s="9"/>
      <c r="H63" s="9"/>
      <c r="I63" s="9"/>
      <c r="J63" s="9"/>
    </row>
    <row r="64" spans="6:10" x14ac:dyDescent="0.25">
      <c r="F64" s="9"/>
      <c r="G64" s="9"/>
      <c r="H64" s="9"/>
      <c r="I64" s="9"/>
      <c r="J64" s="9"/>
    </row>
    <row r="65" spans="6:10" x14ac:dyDescent="0.25">
      <c r="F65" s="9"/>
      <c r="G65" s="9"/>
      <c r="H65" s="9"/>
      <c r="I65" s="9"/>
      <c r="J65" s="9"/>
    </row>
    <row r="66" spans="6:10" x14ac:dyDescent="0.25">
      <c r="F66" s="9"/>
      <c r="G66" s="9"/>
      <c r="H66" s="9"/>
      <c r="I66" s="9"/>
      <c r="J66" s="9"/>
    </row>
    <row r="67" spans="6:10" x14ac:dyDescent="0.25">
      <c r="F67" s="9"/>
      <c r="G67" s="9"/>
      <c r="H67" s="9"/>
      <c r="I67" s="9"/>
      <c r="J67" s="9"/>
    </row>
    <row r="68" spans="6:10" x14ac:dyDescent="0.25">
      <c r="F68" s="9"/>
      <c r="G68" s="9"/>
      <c r="H68" s="9"/>
      <c r="I68" s="9"/>
      <c r="J68" s="9"/>
    </row>
    <row r="69" spans="6:10" x14ac:dyDescent="0.25">
      <c r="F69" s="9"/>
      <c r="G69" s="9"/>
      <c r="H69" s="9"/>
      <c r="I69" s="9"/>
      <c r="J69" s="9"/>
    </row>
    <row r="70" spans="6:10" x14ac:dyDescent="0.25">
      <c r="F70" s="9"/>
      <c r="G70" s="9"/>
      <c r="H70" s="9"/>
      <c r="I70" s="9"/>
      <c r="J70" s="9"/>
    </row>
    <row r="71" spans="6:10" x14ac:dyDescent="0.25">
      <c r="F71" s="9"/>
      <c r="G71" s="9"/>
      <c r="H71" s="9"/>
      <c r="I71" s="9"/>
      <c r="J71" s="9"/>
    </row>
    <row r="72" spans="6:10" x14ac:dyDescent="0.25">
      <c r="F72" s="9"/>
      <c r="G72" s="9"/>
      <c r="H72" s="9"/>
      <c r="I72" s="9"/>
      <c r="J72" s="9"/>
    </row>
    <row r="73" spans="6:10" x14ac:dyDescent="0.25">
      <c r="F73" s="9"/>
      <c r="G73" s="9"/>
      <c r="H73" s="9"/>
      <c r="I73" s="9"/>
      <c r="J73" s="9"/>
    </row>
    <row r="74" spans="6:10" x14ac:dyDescent="0.25">
      <c r="F74" s="9"/>
      <c r="G74" s="9"/>
      <c r="H74" s="9"/>
      <c r="I74" s="9"/>
      <c r="J74" s="9"/>
    </row>
    <row r="75" spans="6:10" x14ac:dyDescent="0.25">
      <c r="F75" s="9"/>
      <c r="G75" s="9"/>
      <c r="H75" s="9"/>
      <c r="I75" s="9"/>
      <c r="J75" s="9"/>
    </row>
    <row r="76" spans="6:10" x14ac:dyDescent="0.25">
      <c r="F76" s="9"/>
      <c r="G76" s="9"/>
      <c r="H76" s="9"/>
      <c r="I76" s="9"/>
      <c r="J76" s="9"/>
    </row>
    <row r="77" spans="6:10" x14ac:dyDescent="0.25">
      <c r="F77" s="9"/>
      <c r="G77" s="9"/>
      <c r="H77" s="9"/>
      <c r="I77" s="9"/>
      <c r="J77" s="9"/>
    </row>
    <row r="78" spans="6:10" x14ac:dyDescent="0.25">
      <c r="F78" s="9"/>
      <c r="G78" s="9"/>
      <c r="H78" s="9"/>
      <c r="I78" s="9"/>
      <c r="J78" s="9"/>
    </row>
    <row r="79" spans="6:10" x14ac:dyDescent="0.25">
      <c r="F79" s="9"/>
      <c r="G79" s="9"/>
      <c r="H79" s="9"/>
      <c r="I79" s="9"/>
      <c r="J79" s="9"/>
    </row>
    <row r="80" spans="6:10" x14ac:dyDescent="0.25">
      <c r="F80" s="9"/>
      <c r="G80" s="9"/>
      <c r="H80" s="9"/>
      <c r="I80" s="9"/>
      <c r="J80" s="9"/>
    </row>
    <row r="81" spans="6:10" x14ac:dyDescent="0.25">
      <c r="F81" s="9"/>
      <c r="G81" s="9"/>
      <c r="H81" s="9"/>
      <c r="I81" s="9"/>
      <c r="J81" s="9"/>
    </row>
    <row r="82" spans="6:10" x14ac:dyDescent="0.25">
      <c r="F82" s="9"/>
      <c r="G82" s="9"/>
      <c r="H82" s="9"/>
      <c r="I82" s="9"/>
      <c r="J82" s="9"/>
    </row>
    <row r="83" spans="6:10" x14ac:dyDescent="0.25">
      <c r="F83" s="9"/>
      <c r="G83" s="9"/>
      <c r="H83" s="9"/>
      <c r="I83" s="9"/>
      <c r="J83" s="9"/>
    </row>
    <row r="84" spans="6:10" x14ac:dyDescent="0.25">
      <c r="F84" s="9"/>
      <c r="G84" s="9"/>
      <c r="H84" s="9"/>
      <c r="I84" s="9"/>
      <c r="J84" s="9"/>
    </row>
    <row r="85" spans="6:10" x14ac:dyDescent="0.25">
      <c r="F85" s="9"/>
      <c r="G85" s="9"/>
      <c r="H85" s="9"/>
      <c r="I85" s="9"/>
      <c r="J85" s="9"/>
    </row>
    <row r="86" spans="6:10" x14ac:dyDescent="0.25">
      <c r="F86" s="9"/>
      <c r="G86" s="9"/>
      <c r="H86" s="9"/>
      <c r="I86" s="9"/>
      <c r="J86" s="9"/>
    </row>
  </sheetData>
  <mergeCells count="11">
    <mergeCell ref="C21:C24"/>
    <mergeCell ref="B21:B24"/>
    <mergeCell ref="B26:B28"/>
    <mergeCell ref="C26:C28"/>
    <mergeCell ref="B18:B19"/>
    <mergeCell ref="C18:C19"/>
    <mergeCell ref="B3:B9"/>
    <mergeCell ref="C3:C7"/>
    <mergeCell ref="C8:C9"/>
    <mergeCell ref="B11:B16"/>
    <mergeCell ref="C11:C16"/>
  </mergeCells>
  <pageMargins left="1" right="1" top="1" bottom="1" header="0.5" footer="0.5"/>
  <pageSetup paperSize="9" scale="81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2:D29"/>
  <sheetViews>
    <sheetView workbookViewId="0">
      <selection activeCell="B13" sqref="B13"/>
    </sheetView>
  </sheetViews>
  <sheetFormatPr defaultColWidth="11.42578125" defaultRowHeight="15" x14ac:dyDescent="0.25"/>
  <cols>
    <col min="2" max="2" width="74.42578125" bestFit="1" customWidth="1"/>
    <col min="3" max="3" width="13.42578125" bestFit="1" customWidth="1"/>
  </cols>
  <sheetData>
    <row r="2" spans="2:4" ht="18.75" x14ac:dyDescent="0.3">
      <c r="B2" s="107" t="s">
        <v>640</v>
      </c>
      <c r="C2" s="68" t="s">
        <v>632</v>
      </c>
      <c r="D2" s="68" t="s">
        <v>633</v>
      </c>
    </row>
    <row r="3" spans="2:4" x14ac:dyDescent="0.25">
      <c r="B3" s="25" t="s">
        <v>631</v>
      </c>
      <c r="C3" s="106">
        <v>2100</v>
      </c>
      <c r="D3" s="10">
        <v>3000</v>
      </c>
    </row>
    <row r="4" spans="2:4" x14ac:dyDescent="0.25">
      <c r="B4" s="25" t="s">
        <v>634</v>
      </c>
      <c r="C4" s="106">
        <v>1650</v>
      </c>
      <c r="D4" s="10">
        <v>2500</v>
      </c>
    </row>
    <row r="5" spans="2:4" x14ac:dyDescent="0.25">
      <c r="B5" s="25" t="s">
        <v>635</v>
      </c>
      <c r="C5" s="106">
        <v>1650</v>
      </c>
      <c r="D5" s="10">
        <v>2500</v>
      </c>
    </row>
    <row r="6" spans="2:4" x14ac:dyDescent="0.25">
      <c r="B6" s="25" t="s">
        <v>636</v>
      </c>
      <c r="C6" s="106">
        <v>2600</v>
      </c>
      <c r="D6" s="10">
        <v>3500</v>
      </c>
    </row>
    <row r="7" spans="2:4" x14ac:dyDescent="0.25">
      <c r="B7" s="25" t="s">
        <v>637</v>
      </c>
      <c r="C7" s="106">
        <v>2150</v>
      </c>
      <c r="D7" s="10">
        <v>2500</v>
      </c>
    </row>
    <row r="8" spans="2:4" x14ac:dyDescent="0.25">
      <c r="B8" s="25" t="s">
        <v>638</v>
      </c>
      <c r="C8" s="106">
        <v>2650</v>
      </c>
      <c r="D8" s="10">
        <v>3500</v>
      </c>
    </row>
    <row r="9" spans="2:4" x14ac:dyDescent="0.25">
      <c r="B9" s="25" t="s">
        <v>639</v>
      </c>
      <c r="C9" s="106">
        <v>2950</v>
      </c>
      <c r="D9" s="10">
        <v>3700</v>
      </c>
    </row>
    <row r="10" spans="2:4" x14ac:dyDescent="0.25">
      <c r="B10" s="2"/>
      <c r="C10" s="10"/>
      <c r="D10" s="10"/>
    </row>
    <row r="11" spans="2:4" x14ac:dyDescent="0.25">
      <c r="B11" s="2"/>
      <c r="C11" s="10"/>
      <c r="D11" s="10"/>
    </row>
    <row r="12" spans="2:4" x14ac:dyDescent="0.25">
      <c r="B12" s="2"/>
      <c r="C12" s="10"/>
      <c r="D12" s="10"/>
    </row>
    <row r="13" spans="2:4" x14ac:dyDescent="0.25">
      <c r="B13" s="2"/>
      <c r="C13" s="10"/>
      <c r="D13" s="10"/>
    </row>
    <row r="14" spans="2:4" x14ac:dyDescent="0.25">
      <c r="B14" s="2"/>
      <c r="C14" s="10"/>
      <c r="D14" s="10"/>
    </row>
    <row r="15" spans="2:4" x14ac:dyDescent="0.25">
      <c r="B15" s="2"/>
      <c r="C15" s="10"/>
      <c r="D15" s="10"/>
    </row>
    <row r="16" spans="2:4" x14ac:dyDescent="0.25">
      <c r="B16" s="2"/>
      <c r="C16" s="10"/>
      <c r="D16" s="10"/>
    </row>
    <row r="17" spans="2:4" x14ac:dyDescent="0.25">
      <c r="B17" s="2"/>
      <c r="C17" s="10"/>
      <c r="D17" s="10"/>
    </row>
    <row r="18" spans="2:4" x14ac:dyDescent="0.25">
      <c r="B18" s="2"/>
      <c r="C18" s="10"/>
      <c r="D18" s="10"/>
    </row>
    <row r="19" spans="2:4" x14ac:dyDescent="0.25">
      <c r="B19" s="2"/>
      <c r="C19" s="10"/>
      <c r="D19" s="10"/>
    </row>
    <row r="20" spans="2:4" x14ac:dyDescent="0.25">
      <c r="B20" s="2"/>
      <c r="C20" s="10"/>
      <c r="D20" s="10"/>
    </row>
    <row r="21" spans="2:4" x14ac:dyDescent="0.25">
      <c r="B21" s="2"/>
      <c r="C21" s="10"/>
      <c r="D21" s="10"/>
    </row>
    <row r="22" spans="2:4" x14ac:dyDescent="0.25">
      <c r="B22" s="2"/>
      <c r="C22" s="10"/>
      <c r="D22" s="10"/>
    </row>
    <row r="23" spans="2:4" x14ac:dyDescent="0.25">
      <c r="B23" s="2"/>
      <c r="C23" s="10"/>
      <c r="D23" s="10"/>
    </row>
    <row r="24" spans="2:4" x14ac:dyDescent="0.25">
      <c r="B24" s="2"/>
      <c r="C24" s="10"/>
      <c r="D24" s="10"/>
    </row>
    <row r="25" spans="2:4" x14ac:dyDescent="0.25">
      <c r="B25" s="2"/>
      <c r="C25" s="10"/>
      <c r="D25" s="10"/>
    </row>
    <row r="26" spans="2:4" x14ac:dyDescent="0.25">
      <c r="B26" s="2"/>
      <c r="C26" s="10"/>
      <c r="D26" s="10"/>
    </row>
    <row r="27" spans="2:4" x14ac:dyDescent="0.25">
      <c r="B27" s="2"/>
      <c r="C27" s="10"/>
      <c r="D27" s="10"/>
    </row>
    <row r="28" spans="2:4" x14ac:dyDescent="0.25">
      <c r="B28" s="2"/>
      <c r="C28" s="10"/>
      <c r="D28" s="10"/>
    </row>
    <row r="29" spans="2:4" x14ac:dyDescent="0.25">
      <c r="B29" s="2"/>
      <c r="C29" s="10"/>
      <c r="D29" s="10"/>
    </row>
  </sheetData>
  <pageMargins left="0.7" right="0.7" top="0.75" bottom="0.75" header="0.3" footer="0.3"/>
  <pageSetup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2:M25"/>
  <sheetViews>
    <sheetView topLeftCell="A7" workbookViewId="0">
      <selection activeCell="D10" sqref="D10"/>
    </sheetView>
  </sheetViews>
  <sheetFormatPr defaultColWidth="11.42578125" defaultRowHeight="15" x14ac:dyDescent="0.25"/>
  <cols>
    <col min="2" max="2" width="11.140625" bestFit="1" customWidth="1"/>
    <col min="3" max="3" width="12.5703125" bestFit="1" customWidth="1"/>
    <col min="4" max="4" width="84.7109375" bestFit="1" customWidth="1"/>
    <col min="5" max="5" width="12.85546875" bestFit="1" customWidth="1"/>
    <col min="6" max="6" width="14.140625" hidden="1" customWidth="1"/>
    <col min="7" max="7" width="11.42578125" hidden="1" customWidth="1"/>
    <col min="8" max="8" width="9.42578125" style="9" hidden="1" customWidth="1"/>
    <col min="9" max="9" width="3" hidden="1" customWidth="1"/>
    <col min="10" max="10" width="16.7109375" bestFit="1" customWidth="1"/>
    <col min="11" max="11" width="17.42578125" bestFit="1" customWidth="1"/>
  </cols>
  <sheetData>
    <row r="2" spans="2:11" ht="18.75" x14ac:dyDescent="0.3">
      <c r="B2" s="14" t="s">
        <v>192</v>
      </c>
      <c r="C2" s="14" t="s">
        <v>247</v>
      </c>
      <c r="D2" s="15" t="s">
        <v>248</v>
      </c>
      <c r="E2" s="15" t="s">
        <v>193</v>
      </c>
      <c r="F2" s="15" t="s">
        <v>578</v>
      </c>
      <c r="G2" s="2"/>
      <c r="H2" s="10"/>
      <c r="I2" s="2"/>
      <c r="J2" s="15" t="s">
        <v>574</v>
      </c>
      <c r="K2" s="68" t="s">
        <v>498</v>
      </c>
    </row>
    <row r="3" spans="2:11" x14ac:dyDescent="0.25">
      <c r="B3" s="164" t="s">
        <v>575</v>
      </c>
      <c r="C3" s="2" t="s">
        <v>1</v>
      </c>
      <c r="D3" s="60" t="s">
        <v>552</v>
      </c>
      <c r="E3" s="2" t="s">
        <v>84</v>
      </c>
      <c r="F3" s="8">
        <v>19200</v>
      </c>
      <c r="G3" s="2"/>
      <c r="H3" s="10">
        <v>44100</v>
      </c>
      <c r="I3" s="2">
        <v>3</v>
      </c>
      <c r="J3" s="10">
        <f>+H3/I3*1.19</f>
        <v>17493</v>
      </c>
      <c r="K3" s="10">
        <v>20000</v>
      </c>
    </row>
    <row r="4" spans="2:11" x14ac:dyDescent="0.25">
      <c r="B4" s="165"/>
      <c r="C4" s="2" t="s">
        <v>1</v>
      </c>
      <c r="D4" s="60" t="s">
        <v>577</v>
      </c>
      <c r="E4" s="2" t="s">
        <v>84</v>
      </c>
      <c r="F4" s="8">
        <v>19200</v>
      </c>
      <c r="G4" s="2"/>
      <c r="H4" s="10">
        <v>44100</v>
      </c>
      <c r="I4" s="2">
        <v>3</v>
      </c>
      <c r="J4" s="10">
        <f t="shared" ref="J4:J25" si="0">+H4/I4*1.19</f>
        <v>17493</v>
      </c>
      <c r="K4" s="10">
        <v>20000</v>
      </c>
    </row>
    <row r="5" spans="2:11" x14ac:dyDescent="0.25">
      <c r="B5" s="165"/>
      <c r="C5" s="2" t="s">
        <v>1</v>
      </c>
      <c r="D5" s="60" t="s">
        <v>553</v>
      </c>
      <c r="E5" s="2" t="s">
        <v>84</v>
      </c>
      <c r="F5" s="8">
        <v>19200</v>
      </c>
      <c r="G5" s="2"/>
      <c r="H5" s="10">
        <v>73500</v>
      </c>
      <c r="I5" s="2">
        <v>5</v>
      </c>
      <c r="J5" s="10">
        <f t="shared" si="0"/>
        <v>17493</v>
      </c>
      <c r="K5" s="10">
        <v>20000</v>
      </c>
    </row>
    <row r="6" spans="2:11" x14ac:dyDescent="0.25">
      <c r="B6" s="165"/>
      <c r="C6" s="2" t="s">
        <v>1</v>
      </c>
      <c r="D6" s="60" t="s">
        <v>554</v>
      </c>
      <c r="E6" s="2" t="s">
        <v>191</v>
      </c>
      <c r="F6" s="8">
        <v>65000</v>
      </c>
      <c r="G6" s="2"/>
      <c r="H6" s="10">
        <v>105871</v>
      </c>
      <c r="I6" s="2">
        <v>2</v>
      </c>
      <c r="J6" s="10">
        <f t="shared" si="0"/>
        <v>62993.244999999995</v>
      </c>
      <c r="K6" s="10">
        <v>70000</v>
      </c>
    </row>
    <row r="7" spans="2:11" x14ac:dyDescent="0.25">
      <c r="B7" s="165"/>
      <c r="C7" s="2" t="s">
        <v>1</v>
      </c>
      <c r="D7" s="60" t="s">
        <v>555</v>
      </c>
      <c r="E7" s="2" t="s">
        <v>84</v>
      </c>
      <c r="F7" s="8">
        <v>19200</v>
      </c>
      <c r="G7" s="2"/>
      <c r="H7" s="10">
        <v>73500</v>
      </c>
      <c r="I7" s="2">
        <v>5</v>
      </c>
      <c r="J7" s="10">
        <f t="shared" si="0"/>
        <v>17493</v>
      </c>
      <c r="K7" s="10">
        <v>20000</v>
      </c>
    </row>
    <row r="8" spans="2:11" x14ac:dyDescent="0.25">
      <c r="B8" s="165"/>
      <c r="C8" s="2" t="s">
        <v>1</v>
      </c>
      <c r="D8" s="60" t="s">
        <v>556</v>
      </c>
      <c r="E8" s="2" t="s">
        <v>191</v>
      </c>
      <c r="F8" s="8">
        <v>65000</v>
      </c>
      <c r="G8" s="2"/>
      <c r="H8" s="10">
        <v>158806</v>
      </c>
      <c r="I8" s="2">
        <v>3</v>
      </c>
      <c r="J8" s="10">
        <f t="shared" si="0"/>
        <v>62993.046666666669</v>
      </c>
      <c r="K8" s="10">
        <v>70000</v>
      </c>
    </row>
    <row r="9" spans="2:11" x14ac:dyDescent="0.25">
      <c r="B9" s="165"/>
      <c r="C9" s="2" t="s">
        <v>1</v>
      </c>
      <c r="D9" s="60" t="s">
        <v>557</v>
      </c>
      <c r="E9" s="2" t="s">
        <v>84</v>
      </c>
      <c r="F9" s="8">
        <v>19200</v>
      </c>
      <c r="G9" s="2"/>
      <c r="H9" s="10">
        <v>147000</v>
      </c>
      <c r="I9" s="2">
        <v>10</v>
      </c>
      <c r="J9" s="10">
        <f t="shared" si="0"/>
        <v>17493</v>
      </c>
      <c r="K9" s="10">
        <v>20000</v>
      </c>
    </row>
    <row r="10" spans="2:11" x14ac:dyDescent="0.25">
      <c r="B10" s="165"/>
      <c r="C10" s="2" t="s">
        <v>4</v>
      </c>
      <c r="D10" s="60" t="s">
        <v>558</v>
      </c>
      <c r="E10" s="2" t="s">
        <v>47</v>
      </c>
      <c r="F10" s="8">
        <v>23800</v>
      </c>
      <c r="G10" s="2"/>
      <c r="H10" s="10">
        <v>91147</v>
      </c>
      <c r="I10" s="2">
        <v>5</v>
      </c>
      <c r="J10" s="10">
        <f t="shared" si="0"/>
        <v>21692.986000000001</v>
      </c>
      <c r="K10" s="10">
        <v>25000</v>
      </c>
    </row>
    <row r="11" spans="2:11" x14ac:dyDescent="0.25">
      <c r="B11" s="165"/>
      <c r="C11" s="2" t="s">
        <v>4</v>
      </c>
      <c r="D11" s="60" t="s">
        <v>559</v>
      </c>
      <c r="E11" s="2" t="s">
        <v>190</v>
      </c>
      <c r="F11" s="8">
        <v>56000</v>
      </c>
      <c r="G11" s="2"/>
      <c r="H11" s="10">
        <v>90576</v>
      </c>
      <c r="I11" s="2">
        <v>2</v>
      </c>
      <c r="J11" s="10">
        <f t="shared" si="0"/>
        <v>53892.72</v>
      </c>
      <c r="K11" s="10">
        <v>62000</v>
      </c>
    </row>
    <row r="12" spans="2:11" x14ac:dyDescent="0.25">
      <c r="B12" s="165"/>
      <c r="C12" s="2" t="s">
        <v>4</v>
      </c>
      <c r="D12" s="60" t="s">
        <v>560</v>
      </c>
      <c r="E12" s="2" t="s">
        <v>47</v>
      </c>
      <c r="F12" s="8">
        <v>23800</v>
      </c>
      <c r="G12" s="2"/>
      <c r="H12" s="10">
        <v>54688</v>
      </c>
      <c r="I12" s="2">
        <v>3</v>
      </c>
      <c r="J12" s="10">
        <f t="shared" si="0"/>
        <v>21692.906666666666</v>
      </c>
      <c r="K12" s="10">
        <v>25000</v>
      </c>
    </row>
    <row r="13" spans="2:11" x14ac:dyDescent="0.25">
      <c r="B13" s="165"/>
      <c r="C13" s="2" t="s">
        <v>4</v>
      </c>
      <c r="D13" s="60" t="s">
        <v>581</v>
      </c>
      <c r="E13" s="2" t="s">
        <v>47</v>
      </c>
      <c r="F13" s="8">
        <v>23000</v>
      </c>
      <c r="G13" s="2"/>
      <c r="H13" s="10">
        <v>88207</v>
      </c>
      <c r="I13" s="2">
        <v>5</v>
      </c>
      <c r="J13" s="10">
        <f t="shared" si="0"/>
        <v>20993.266</v>
      </c>
      <c r="K13" s="10">
        <v>25000</v>
      </c>
    </row>
    <row r="14" spans="2:11" x14ac:dyDescent="0.25">
      <c r="B14" s="165"/>
      <c r="C14" s="2" t="s">
        <v>4</v>
      </c>
      <c r="D14" s="60" t="s">
        <v>582</v>
      </c>
      <c r="E14" s="2" t="s">
        <v>190</v>
      </c>
      <c r="F14" s="8">
        <v>54000</v>
      </c>
      <c r="G14" s="2"/>
      <c r="H14" s="10">
        <v>87046</v>
      </c>
      <c r="I14" s="2">
        <v>2</v>
      </c>
      <c r="J14" s="10">
        <f t="shared" si="0"/>
        <v>51792.369999999995</v>
      </c>
      <c r="K14" s="10">
        <v>62000</v>
      </c>
    </row>
    <row r="15" spans="2:11" x14ac:dyDescent="0.25">
      <c r="B15" s="165"/>
      <c r="C15" s="2" t="s">
        <v>4</v>
      </c>
      <c r="D15" s="60" t="s">
        <v>561</v>
      </c>
      <c r="E15" s="2" t="s">
        <v>47</v>
      </c>
      <c r="F15" s="8">
        <v>23000</v>
      </c>
      <c r="G15" s="2"/>
      <c r="H15" s="10">
        <v>52924</v>
      </c>
      <c r="I15" s="2">
        <v>3</v>
      </c>
      <c r="J15" s="10">
        <f t="shared" si="0"/>
        <v>20993.186666666665</v>
      </c>
      <c r="K15" s="10">
        <v>25000</v>
      </c>
    </row>
    <row r="16" spans="2:11" x14ac:dyDescent="0.25">
      <c r="B16" s="165"/>
      <c r="C16" s="2" t="s">
        <v>4</v>
      </c>
      <c r="D16" s="60" t="s">
        <v>562</v>
      </c>
      <c r="E16" s="2" t="s">
        <v>47</v>
      </c>
      <c r="F16" s="8">
        <v>23000</v>
      </c>
      <c r="G16" s="2"/>
      <c r="H16" s="10">
        <v>52924</v>
      </c>
      <c r="I16" s="2">
        <v>3</v>
      </c>
      <c r="J16" s="10">
        <f t="shared" si="0"/>
        <v>20993.186666666665</v>
      </c>
      <c r="K16" s="10">
        <v>25000</v>
      </c>
    </row>
    <row r="17" spans="2:13" x14ac:dyDescent="0.25">
      <c r="B17" s="165"/>
      <c r="C17" s="2" t="s">
        <v>4</v>
      </c>
      <c r="D17" s="60" t="s">
        <v>563</v>
      </c>
      <c r="E17" s="2" t="s">
        <v>47</v>
      </c>
      <c r="F17" s="8">
        <v>23000</v>
      </c>
      <c r="G17" s="2"/>
      <c r="H17" s="10">
        <v>52924</v>
      </c>
      <c r="I17" s="2">
        <v>3</v>
      </c>
      <c r="J17" s="10">
        <f t="shared" si="0"/>
        <v>20993.186666666665</v>
      </c>
      <c r="K17" s="10">
        <v>25000</v>
      </c>
    </row>
    <row r="18" spans="2:13" x14ac:dyDescent="0.25">
      <c r="B18" s="166"/>
      <c r="C18" s="2" t="s">
        <v>4</v>
      </c>
      <c r="D18" s="60" t="s">
        <v>564</v>
      </c>
      <c r="E18" s="2" t="s">
        <v>47</v>
      </c>
      <c r="F18" s="8">
        <v>23000</v>
      </c>
      <c r="G18" s="2"/>
      <c r="H18" s="10">
        <v>52924</v>
      </c>
      <c r="I18" s="2">
        <v>3</v>
      </c>
      <c r="J18" s="10">
        <f t="shared" si="0"/>
        <v>20993.186666666665</v>
      </c>
      <c r="K18" s="10">
        <v>25000</v>
      </c>
    </row>
    <row r="19" spans="2:13" x14ac:dyDescent="0.25">
      <c r="B19" s="164" t="s">
        <v>576</v>
      </c>
      <c r="C19" s="2" t="s">
        <v>1</v>
      </c>
      <c r="D19" s="60" t="s">
        <v>565</v>
      </c>
      <c r="E19" s="2" t="s">
        <v>572</v>
      </c>
      <c r="F19" s="8">
        <v>10000</v>
      </c>
      <c r="G19" s="2"/>
      <c r="H19" s="10">
        <v>22924</v>
      </c>
      <c r="I19" s="2">
        <v>3</v>
      </c>
      <c r="J19" s="10">
        <f t="shared" si="0"/>
        <v>9093.1866666666665</v>
      </c>
      <c r="K19" s="10">
        <v>12000</v>
      </c>
    </row>
    <row r="20" spans="2:13" x14ac:dyDescent="0.25">
      <c r="B20" s="165"/>
      <c r="C20" s="2" t="s">
        <v>1</v>
      </c>
      <c r="D20" s="60" t="s">
        <v>566</v>
      </c>
      <c r="E20" s="2" t="s">
        <v>572</v>
      </c>
      <c r="F20" s="8">
        <v>10000</v>
      </c>
      <c r="G20" s="2"/>
      <c r="H20" s="10">
        <v>24688</v>
      </c>
      <c r="I20" s="2">
        <v>3</v>
      </c>
      <c r="J20" s="10">
        <f t="shared" si="0"/>
        <v>9792.9066666666677</v>
      </c>
      <c r="K20" s="10">
        <v>12000</v>
      </c>
    </row>
    <row r="21" spans="2:13" x14ac:dyDescent="0.25">
      <c r="B21" s="165"/>
      <c r="C21" s="2" t="s">
        <v>1</v>
      </c>
      <c r="D21" s="60" t="s">
        <v>567</v>
      </c>
      <c r="E21" s="2" t="s">
        <v>573</v>
      </c>
      <c r="F21" s="8">
        <v>410</v>
      </c>
      <c r="G21" s="2"/>
      <c r="H21" s="10">
        <v>45000</v>
      </c>
      <c r="I21" s="2">
        <v>10</v>
      </c>
      <c r="J21" s="10">
        <f t="shared" si="0"/>
        <v>5355</v>
      </c>
      <c r="K21" s="10">
        <v>600</v>
      </c>
      <c r="M21">
        <f>+J21/15</f>
        <v>357</v>
      </c>
    </row>
    <row r="22" spans="2:13" x14ac:dyDescent="0.25">
      <c r="B22" s="165"/>
      <c r="C22" s="2" t="s">
        <v>1</v>
      </c>
      <c r="D22" s="60" t="s">
        <v>568</v>
      </c>
      <c r="E22" s="2" t="s">
        <v>320</v>
      </c>
      <c r="F22" s="8">
        <v>3240</v>
      </c>
      <c r="G22" s="2"/>
      <c r="H22" s="10">
        <v>59406</v>
      </c>
      <c r="I22" s="2">
        <v>24</v>
      </c>
      <c r="J22" s="10">
        <f t="shared" si="0"/>
        <v>2945.5474999999997</v>
      </c>
      <c r="K22" s="10">
        <v>3600</v>
      </c>
    </row>
    <row r="23" spans="2:13" x14ac:dyDescent="0.25">
      <c r="B23" s="165"/>
      <c r="C23" s="2" t="s">
        <v>1</v>
      </c>
      <c r="D23" s="60" t="s">
        <v>569</v>
      </c>
      <c r="E23" s="2" t="s">
        <v>320</v>
      </c>
      <c r="F23" s="8">
        <v>3240</v>
      </c>
      <c r="G23" s="2"/>
      <c r="H23" s="10">
        <v>59406</v>
      </c>
      <c r="I23" s="2">
        <v>24</v>
      </c>
      <c r="J23" s="10">
        <f t="shared" si="0"/>
        <v>2945.5474999999997</v>
      </c>
      <c r="K23" s="10">
        <v>3600</v>
      </c>
    </row>
    <row r="24" spans="2:13" x14ac:dyDescent="0.25">
      <c r="B24" s="165"/>
      <c r="C24" s="2" t="s">
        <v>4</v>
      </c>
      <c r="D24" s="60" t="s">
        <v>570</v>
      </c>
      <c r="E24" s="2" t="s">
        <v>320</v>
      </c>
      <c r="F24" s="8">
        <v>3240</v>
      </c>
      <c r="G24" s="2"/>
      <c r="H24" s="10">
        <v>59406</v>
      </c>
      <c r="I24" s="2">
        <v>24</v>
      </c>
      <c r="J24" s="10">
        <f t="shared" si="0"/>
        <v>2945.5474999999997</v>
      </c>
      <c r="K24" s="10">
        <v>3600</v>
      </c>
    </row>
    <row r="25" spans="2:13" x14ac:dyDescent="0.25">
      <c r="B25" s="166"/>
      <c r="C25" s="2" t="s">
        <v>4</v>
      </c>
      <c r="D25" s="60" t="s">
        <v>571</v>
      </c>
      <c r="E25" s="2" t="s">
        <v>320</v>
      </c>
      <c r="F25" s="8">
        <v>3240</v>
      </c>
      <c r="G25" s="2"/>
      <c r="H25" s="10">
        <v>59406</v>
      </c>
      <c r="I25" s="2">
        <v>24</v>
      </c>
      <c r="J25" s="10">
        <f t="shared" si="0"/>
        <v>2945.5474999999997</v>
      </c>
      <c r="K25" s="10">
        <v>3600</v>
      </c>
    </row>
  </sheetData>
  <mergeCells count="2">
    <mergeCell ref="B3:B18"/>
    <mergeCell ref="B19:B25"/>
  </mergeCells>
  <pageMargins left="0.7" right="0.7" top="0.75" bottom="0.75" header="0.3" footer="0.3"/>
  <pageSetup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B2:F31"/>
  <sheetViews>
    <sheetView zoomScale="70" zoomScaleNormal="70" workbookViewId="0">
      <selection activeCell="F2" sqref="F2"/>
    </sheetView>
  </sheetViews>
  <sheetFormatPr defaultColWidth="11.42578125" defaultRowHeight="15" x14ac:dyDescent="0.25"/>
  <cols>
    <col min="2" max="2" width="16.140625" bestFit="1" customWidth="1"/>
    <col min="3" max="3" width="12.5703125" bestFit="1" customWidth="1"/>
    <col min="4" max="4" width="63.42578125" bestFit="1" customWidth="1"/>
    <col min="5" max="5" width="12.85546875" bestFit="1" customWidth="1"/>
    <col min="6" max="6" width="13.42578125" bestFit="1" customWidth="1"/>
  </cols>
  <sheetData>
    <row r="2" spans="2:6" ht="18.75" x14ac:dyDescent="0.3">
      <c r="B2" s="14" t="s">
        <v>192</v>
      </c>
      <c r="C2" s="14" t="s">
        <v>247</v>
      </c>
      <c r="D2" s="15" t="s">
        <v>248</v>
      </c>
      <c r="E2" s="15" t="s">
        <v>193</v>
      </c>
      <c r="F2" s="68" t="s">
        <v>194</v>
      </c>
    </row>
    <row r="3" spans="2:6" ht="18.75" x14ac:dyDescent="0.3">
      <c r="B3" s="140" t="s">
        <v>360</v>
      </c>
      <c r="C3" s="139" t="s">
        <v>4</v>
      </c>
      <c r="D3" s="33" t="s">
        <v>361</v>
      </c>
      <c r="E3" s="33" t="s">
        <v>362</v>
      </c>
      <c r="F3" s="34">
        <v>15500</v>
      </c>
    </row>
    <row r="4" spans="2:6" ht="18.75" x14ac:dyDescent="0.3">
      <c r="B4" s="140"/>
      <c r="C4" s="139"/>
      <c r="D4" s="33" t="s">
        <v>363</v>
      </c>
      <c r="E4" s="33" t="s">
        <v>364</v>
      </c>
      <c r="F4" s="34">
        <v>39000</v>
      </c>
    </row>
    <row r="5" spans="2:6" ht="18.75" x14ac:dyDescent="0.3">
      <c r="B5" s="140"/>
      <c r="C5" s="139"/>
      <c r="D5" s="33" t="s">
        <v>365</v>
      </c>
      <c r="E5" s="33" t="s">
        <v>362</v>
      </c>
      <c r="F5" s="34">
        <v>16500</v>
      </c>
    </row>
    <row r="6" spans="2:6" ht="18.75" x14ac:dyDescent="0.3">
      <c r="B6" s="140"/>
      <c r="C6" s="139"/>
      <c r="D6" s="33" t="s">
        <v>366</v>
      </c>
      <c r="E6" s="33" t="s">
        <v>364</v>
      </c>
      <c r="F6" s="34">
        <v>41500</v>
      </c>
    </row>
    <row r="7" spans="2:6" ht="18.75" x14ac:dyDescent="0.3">
      <c r="B7" s="140"/>
      <c r="C7" s="139"/>
      <c r="D7" s="33" t="s">
        <v>367</v>
      </c>
      <c r="E7" s="33" t="s">
        <v>362</v>
      </c>
      <c r="F7" s="34">
        <v>13800</v>
      </c>
    </row>
    <row r="8" spans="2:6" ht="18.75" x14ac:dyDescent="0.3">
      <c r="B8" s="140"/>
      <c r="C8" s="139"/>
      <c r="D8" s="33" t="s">
        <v>368</v>
      </c>
      <c r="E8" s="33" t="s">
        <v>364</v>
      </c>
      <c r="F8" s="34">
        <v>37900</v>
      </c>
    </row>
    <row r="9" spans="2:6" ht="18.75" x14ac:dyDescent="0.3">
      <c r="B9" s="140"/>
      <c r="C9" s="147" t="s">
        <v>1</v>
      </c>
      <c r="D9" s="33" t="s">
        <v>369</v>
      </c>
      <c r="E9" s="33" t="s">
        <v>125</v>
      </c>
      <c r="F9" s="34">
        <v>13800</v>
      </c>
    </row>
    <row r="10" spans="2:6" ht="18.75" x14ac:dyDescent="0.3">
      <c r="B10" s="140"/>
      <c r="C10" s="148"/>
      <c r="D10" s="33" t="s">
        <v>370</v>
      </c>
      <c r="E10" s="33" t="s">
        <v>371</v>
      </c>
      <c r="F10" s="34">
        <v>37500</v>
      </c>
    </row>
    <row r="11" spans="2:6" ht="18.75" x14ac:dyDescent="0.3">
      <c r="B11" s="140"/>
      <c r="C11" s="148"/>
      <c r="D11" s="33" t="s">
        <v>372</v>
      </c>
      <c r="E11" s="33" t="s">
        <v>371</v>
      </c>
      <c r="F11" s="34">
        <v>34700</v>
      </c>
    </row>
    <row r="12" spans="2:6" ht="18.75" x14ac:dyDescent="0.3">
      <c r="B12" s="140"/>
      <c r="C12" s="149"/>
      <c r="D12" s="33" t="s">
        <v>373</v>
      </c>
      <c r="E12" s="33" t="s">
        <v>125</v>
      </c>
      <c r="F12" s="34">
        <v>14400</v>
      </c>
    </row>
    <row r="13" spans="2:6" ht="18.75" x14ac:dyDescent="0.3">
      <c r="D13" s="35"/>
      <c r="F13" s="36"/>
    </row>
    <row r="14" spans="2:6" ht="18.75" x14ac:dyDescent="0.3">
      <c r="B14" s="140" t="s">
        <v>374</v>
      </c>
      <c r="C14" s="139" t="s">
        <v>4</v>
      </c>
      <c r="D14" s="33" t="s">
        <v>375</v>
      </c>
      <c r="E14" s="33" t="s">
        <v>125</v>
      </c>
      <c r="F14" s="34">
        <v>15900</v>
      </c>
    </row>
    <row r="15" spans="2:6" ht="18.75" x14ac:dyDescent="0.3">
      <c r="B15" s="140"/>
      <c r="C15" s="139"/>
      <c r="D15" s="33" t="s">
        <v>376</v>
      </c>
      <c r="E15" s="33" t="s">
        <v>371</v>
      </c>
      <c r="F15" s="34">
        <v>38400</v>
      </c>
    </row>
    <row r="16" spans="2:6" ht="18.75" x14ac:dyDescent="0.3">
      <c r="B16" s="140"/>
      <c r="C16" s="139"/>
      <c r="D16" s="33" t="s">
        <v>377</v>
      </c>
      <c r="E16" s="33" t="s">
        <v>362</v>
      </c>
      <c r="F16" s="34">
        <v>19800</v>
      </c>
    </row>
    <row r="17" spans="2:6" ht="18.75" x14ac:dyDescent="0.3">
      <c r="B17" s="140"/>
      <c r="C17" s="139"/>
      <c r="D17" s="33" t="s">
        <v>378</v>
      </c>
      <c r="E17" s="33" t="s">
        <v>183</v>
      </c>
      <c r="F17" s="34">
        <v>52300</v>
      </c>
    </row>
    <row r="18" spans="2:6" ht="18.75" x14ac:dyDescent="0.3">
      <c r="B18" s="140"/>
      <c r="C18" s="139"/>
      <c r="D18" s="33" t="s">
        <v>379</v>
      </c>
      <c r="E18" s="33" t="s">
        <v>371</v>
      </c>
      <c r="F18" s="34">
        <v>41200</v>
      </c>
    </row>
    <row r="19" spans="2:6" ht="18.75" x14ac:dyDescent="0.3">
      <c r="B19" s="140"/>
      <c r="C19" s="139"/>
      <c r="D19" s="33" t="s">
        <v>380</v>
      </c>
      <c r="E19" s="33" t="s">
        <v>371</v>
      </c>
      <c r="F19" s="34">
        <v>36800</v>
      </c>
    </row>
    <row r="20" spans="2:6" ht="18.75" x14ac:dyDescent="0.3">
      <c r="B20" s="140"/>
      <c r="C20" s="139"/>
      <c r="D20" s="33" t="s">
        <v>381</v>
      </c>
      <c r="E20" s="33" t="s">
        <v>183</v>
      </c>
      <c r="F20" s="34">
        <v>53500</v>
      </c>
    </row>
    <row r="21" spans="2:6" ht="18.75" x14ac:dyDescent="0.3">
      <c r="B21" s="140"/>
      <c r="C21" s="139"/>
      <c r="D21" s="33" t="s">
        <v>382</v>
      </c>
      <c r="E21" s="33" t="s">
        <v>183</v>
      </c>
      <c r="F21" s="34">
        <v>53500</v>
      </c>
    </row>
    <row r="22" spans="2:6" ht="18.75" x14ac:dyDescent="0.3">
      <c r="B22" s="140"/>
      <c r="C22" s="139"/>
      <c r="D22" s="33" t="s">
        <v>431</v>
      </c>
      <c r="E22" s="33" t="s">
        <v>183</v>
      </c>
      <c r="F22" s="34">
        <v>48800</v>
      </c>
    </row>
    <row r="23" spans="2:6" ht="18.75" x14ac:dyDescent="0.3">
      <c r="B23" s="140"/>
      <c r="C23" s="139"/>
      <c r="D23" s="33" t="s">
        <v>383</v>
      </c>
      <c r="E23" s="33" t="s">
        <v>183</v>
      </c>
      <c r="F23" s="34">
        <v>53500</v>
      </c>
    </row>
    <row r="24" spans="2:6" ht="18.75" x14ac:dyDescent="0.3">
      <c r="B24" s="140"/>
      <c r="C24" s="139"/>
      <c r="D24" s="33" t="s">
        <v>384</v>
      </c>
      <c r="E24" s="33" t="s">
        <v>125</v>
      </c>
      <c r="F24" s="34">
        <v>16800</v>
      </c>
    </row>
    <row r="25" spans="2:6" ht="18.75" x14ac:dyDescent="0.3">
      <c r="B25" s="140"/>
      <c r="C25" s="139"/>
      <c r="D25" s="33" t="s">
        <v>385</v>
      </c>
      <c r="E25" s="33" t="s">
        <v>371</v>
      </c>
      <c r="F25" s="34">
        <v>38000</v>
      </c>
    </row>
    <row r="26" spans="2:6" ht="18.75" x14ac:dyDescent="0.3">
      <c r="B26" s="140"/>
      <c r="C26" s="142" t="s">
        <v>1</v>
      </c>
      <c r="D26" s="33" t="s">
        <v>386</v>
      </c>
      <c r="E26" s="33" t="s">
        <v>371</v>
      </c>
      <c r="F26" s="34">
        <v>44000</v>
      </c>
    </row>
    <row r="27" spans="2:6" ht="18.75" x14ac:dyDescent="0.3">
      <c r="B27" s="140"/>
      <c r="C27" s="142"/>
      <c r="D27" s="33" t="s">
        <v>387</v>
      </c>
      <c r="E27" s="33" t="s">
        <v>125</v>
      </c>
      <c r="F27" s="34">
        <v>16500</v>
      </c>
    </row>
    <row r="28" spans="2:6" ht="18.75" x14ac:dyDescent="0.3">
      <c r="B28" s="140"/>
      <c r="C28" s="142"/>
      <c r="D28" s="33" t="s">
        <v>388</v>
      </c>
      <c r="E28" s="33" t="s">
        <v>371</v>
      </c>
      <c r="F28" s="34">
        <v>42800</v>
      </c>
    </row>
    <row r="29" spans="2:6" ht="18.75" x14ac:dyDescent="0.3">
      <c r="B29" s="140"/>
      <c r="C29" s="142"/>
      <c r="D29" s="33" t="s">
        <v>389</v>
      </c>
      <c r="E29" s="33" t="s">
        <v>371</v>
      </c>
      <c r="F29" s="34">
        <v>40500</v>
      </c>
    </row>
    <row r="30" spans="2:6" ht="18.75" x14ac:dyDescent="0.3">
      <c r="B30" s="140"/>
      <c r="C30" s="142"/>
      <c r="D30" s="33" t="s">
        <v>432</v>
      </c>
      <c r="E30" s="33" t="s">
        <v>125</v>
      </c>
      <c r="F30" s="34">
        <v>17000</v>
      </c>
    </row>
    <row r="31" spans="2:6" ht="18.75" x14ac:dyDescent="0.3">
      <c r="B31" s="140"/>
      <c r="C31" s="142"/>
      <c r="D31" s="33" t="s">
        <v>390</v>
      </c>
      <c r="E31" s="33" t="s">
        <v>371</v>
      </c>
      <c r="F31" s="34">
        <v>42800</v>
      </c>
    </row>
  </sheetData>
  <mergeCells count="6">
    <mergeCell ref="B3:B12"/>
    <mergeCell ref="C3:C8"/>
    <mergeCell ref="C9:C12"/>
    <mergeCell ref="B14:B31"/>
    <mergeCell ref="C14:C25"/>
    <mergeCell ref="C26:C31"/>
  </mergeCells>
  <pageMargins left="1" right="1" top="1" bottom="1" header="0.5" footer="0.5"/>
  <pageSetup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B2:E29"/>
  <sheetViews>
    <sheetView topLeftCell="E1" workbookViewId="0">
      <selection activeCell="E1" sqref="E1"/>
    </sheetView>
  </sheetViews>
  <sheetFormatPr defaultColWidth="11.42578125" defaultRowHeight="15" x14ac:dyDescent="0.25"/>
  <cols>
    <col min="4" max="4" width="74.42578125" bestFit="1" customWidth="1"/>
    <col min="5" max="5" width="13.42578125" bestFit="1" customWidth="1"/>
  </cols>
  <sheetData>
    <row r="2" spans="2:5" ht="18.75" x14ac:dyDescent="0.3">
      <c r="B2" s="14" t="s">
        <v>192</v>
      </c>
      <c r="C2" s="14" t="s">
        <v>247</v>
      </c>
      <c r="D2" s="15" t="s">
        <v>248</v>
      </c>
      <c r="E2" s="68" t="s">
        <v>194</v>
      </c>
    </row>
    <row r="3" spans="2:5" x14ac:dyDescent="0.25">
      <c r="C3" s="168" t="s">
        <v>1</v>
      </c>
      <c r="D3" s="2" t="s">
        <v>404</v>
      </c>
      <c r="E3" s="10">
        <v>14000</v>
      </c>
    </row>
    <row r="4" spans="2:5" x14ac:dyDescent="0.25">
      <c r="C4" s="169"/>
      <c r="D4" s="2" t="s">
        <v>405</v>
      </c>
      <c r="E4" s="10">
        <v>46900</v>
      </c>
    </row>
    <row r="5" spans="2:5" x14ac:dyDescent="0.25">
      <c r="C5" s="169"/>
      <c r="D5" s="2" t="s">
        <v>406</v>
      </c>
      <c r="E5" s="10">
        <v>14000</v>
      </c>
    </row>
    <row r="6" spans="2:5" x14ac:dyDescent="0.25">
      <c r="C6" s="169"/>
      <c r="D6" s="2" t="s">
        <v>407</v>
      </c>
      <c r="E6" s="10">
        <v>40800</v>
      </c>
    </row>
    <row r="7" spans="2:5" x14ac:dyDescent="0.25">
      <c r="C7" s="169"/>
      <c r="D7" s="2" t="s">
        <v>408</v>
      </c>
      <c r="E7" s="10">
        <v>14000</v>
      </c>
    </row>
    <row r="8" spans="2:5" x14ac:dyDescent="0.25">
      <c r="C8" s="169"/>
      <c r="D8" s="2" t="s">
        <v>409</v>
      </c>
      <c r="E8" s="10">
        <v>40800</v>
      </c>
    </row>
    <row r="9" spans="2:5" x14ac:dyDescent="0.25">
      <c r="C9" s="169"/>
      <c r="D9" s="2" t="s">
        <v>410</v>
      </c>
      <c r="E9" s="10">
        <v>14000</v>
      </c>
    </row>
    <row r="10" spans="2:5" x14ac:dyDescent="0.25">
      <c r="C10" s="169"/>
      <c r="D10" s="2" t="s">
        <v>411</v>
      </c>
      <c r="E10" s="10">
        <v>40000</v>
      </c>
    </row>
    <row r="11" spans="2:5" x14ac:dyDescent="0.25">
      <c r="C11" s="169"/>
      <c r="D11" s="2" t="s">
        <v>412</v>
      </c>
      <c r="E11" s="10">
        <v>14000</v>
      </c>
    </row>
    <row r="12" spans="2:5" x14ac:dyDescent="0.25">
      <c r="C12" s="169"/>
      <c r="D12" s="2" t="s">
        <v>413</v>
      </c>
      <c r="E12" s="10">
        <v>40800</v>
      </c>
    </row>
    <row r="13" spans="2:5" x14ac:dyDescent="0.25">
      <c r="D13" s="2" t="s">
        <v>414</v>
      </c>
      <c r="E13" s="10">
        <v>15000</v>
      </c>
    </row>
    <row r="14" spans="2:5" x14ac:dyDescent="0.25">
      <c r="D14" s="2" t="s">
        <v>415</v>
      </c>
      <c r="E14" s="10">
        <v>53000</v>
      </c>
    </row>
    <row r="15" spans="2:5" x14ac:dyDescent="0.25">
      <c r="D15" s="2" t="s">
        <v>416</v>
      </c>
      <c r="E15" s="10">
        <v>56600</v>
      </c>
    </row>
    <row r="16" spans="2:5" x14ac:dyDescent="0.25">
      <c r="D16" s="2" t="s">
        <v>417</v>
      </c>
      <c r="E16" s="10">
        <v>15000</v>
      </c>
    </row>
    <row r="17" spans="4:5" x14ac:dyDescent="0.25">
      <c r="D17" s="2" t="s">
        <v>418</v>
      </c>
      <c r="E17" s="10">
        <v>53200</v>
      </c>
    </row>
    <row r="18" spans="4:5" x14ac:dyDescent="0.25">
      <c r="D18" s="2" t="s">
        <v>419</v>
      </c>
      <c r="E18" s="10">
        <v>17000</v>
      </c>
    </row>
    <row r="19" spans="4:5" x14ac:dyDescent="0.25">
      <c r="D19" s="2" t="s">
        <v>420</v>
      </c>
      <c r="E19" s="10">
        <v>46400</v>
      </c>
    </row>
    <row r="20" spans="4:5" x14ac:dyDescent="0.25">
      <c r="D20" s="2" t="s">
        <v>421</v>
      </c>
      <c r="E20" s="10">
        <v>45800</v>
      </c>
    </row>
    <row r="21" spans="4:5" x14ac:dyDescent="0.25">
      <c r="D21" s="2" t="s">
        <v>422</v>
      </c>
      <c r="E21" s="10">
        <v>16000</v>
      </c>
    </row>
    <row r="22" spans="4:5" x14ac:dyDescent="0.25">
      <c r="D22" s="2" t="s">
        <v>423</v>
      </c>
      <c r="E22" s="10">
        <v>43500</v>
      </c>
    </row>
    <row r="23" spans="4:5" x14ac:dyDescent="0.25">
      <c r="D23" s="2" t="s">
        <v>424</v>
      </c>
      <c r="E23" s="10">
        <v>15000</v>
      </c>
    </row>
    <row r="24" spans="4:5" x14ac:dyDescent="0.25">
      <c r="D24" s="2" t="s">
        <v>425</v>
      </c>
      <c r="E24" s="10">
        <v>56900</v>
      </c>
    </row>
    <row r="25" spans="4:5" x14ac:dyDescent="0.25">
      <c r="D25" s="2" t="s">
        <v>426</v>
      </c>
      <c r="E25" s="10">
        <v>18000</v>
      </c>
    </row>
    <row r="26" spans="4:5" x14ac:dyDescent="0.25">
      <c r="D26" s="2" t="s">
        <v>427</v>
      </c>
      <c r="E26" s="10">
        <v>17000</v>
      </c>
    </row>
    <row r="27" spans="4:5" x14ac:dyDescent="0.25">
      <c r="D27" s="2" t="s">
        <v>428</v>
      </c>
      <c r="E27" s="10">
        <v>16000</v>
      </c>
    </row>
    <row r="28" spans="4:5" x14ac:dyDescent="0.25">
      <c r="D28" s="2" t="s">
        <v>429</v>
      </c>
      <c r="E28" s="10">
        <v>16000</v>
      </c>
    </row>
    <row r="29" spans="4:5" x14ac:dyDescent="0.25">
      <c r="D29" s="2" t="s">
        <v>430</v>
      </c>
      <c r="E29" s="10">
        <v>32000</v>
      </c>
    </row>
  </sheetData>
  <mergeCells count="1">
    <mergeCell ref="C3:C1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B2:H2"/>
  <sheetViews>
    <sheetView workbookViewId="0">
      <selection activeCell="H10" sqref="H10"/>
    </sheetView>
  </sheetViews>
  <sheetFormatPr defaultColWidth="11.42578125" defaultRowHeight="15" x14ac:dyDescent="0.25"/>
  <cols>
    <col min="2" max="2" width="9.5703125" bestFit="1" customWidth="1"/>
    <col min="3" max="3" width="12.5703125" bestFit="1" customWidth="1"/>
    <col min="4" max="4" width="14.28515625" bestFit="1" customWidth="1"/>
    <col min="5" max="5" width="12.85546875" bestFit="1" customWidth="1"/>
    <col min="6" max="6" width="13.42578125" bestFit="1" customWidth="1"/>
    <col min="7" max="7" width="22" bestFit="1" customWidth="1"/>
    <col min="8" max="8" width="27" bestFit="1" customWidth="1"/>
  </cols>
  <sheetData>
    <row r="2" spans="2:8" ht="18.75" x14ac:dyDescent="0.3">
      <c r="B2" s="14" t="s">
        <v>192</v>
      </c>
      <c r="C2" s="14" t="s">
        <v>247</v>
      </c>
      <c r="D2" s="15" t="s">
        <v>248</v>
      </c>
      <c r="E2" s="15" t="s">
        <v>193</v>
      </c>
      <c r="F2" s="15" t="s">
        <v>249</v>
      </c>
      <c r="G2" s="16" t="s">
        <v>250</v>
      </c>
      <c r="H2" s="15" t="s">
        <v>251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C4:F12"/>
  <sheetViews>
    <sheetView workbookViewId="0">
      <selection activeCell="C4" sqref="C4:F11"/>
    </sheetView>
  </sheetViews>
  <sheetFormatPr defaultColWidth="11.42578125" defaultRowHeight="15" x14ac:dyDescent="0.25"/>
  <sheetData>
    <row r="4" spans="3:6" x14ac:dyDescent="0.25">
      <c r="C4">
        <v>2</v>
      </c>
      <c r="D4" t="s">
        <v>596</v>
      </c>
      <c r="E4">
        <v>22800</v>
      </c>
      <c r="F4" s="9">
        <f>+E4*C4</f>
        <v>45600</v>
      </c>
    </row>
    <row r="5" spans="3:6" x14ac:dyDescent="0.25">
      <c r="C5">
        <v>4</v>
      </c>
      <c r="D5" t="s">
        <v>591</v>
      </c>
      <c r="E5" s="9">
        <v>27000</v>
      </c>
      <c r="F5" s="9">
        <f>+E5*C5</f>
        <v>108000</v>
      </c>
    </row>
    <row r="6" spans="3:6" x14ac:dyDescent="0.25">
      <c r="C6">
        <v>4</v>
      </c>
      <c r="D6" t="s">
        <v>592</v>
      </c>
      <c r="E6" s="9">
        <v>21000</v>
      </c>
      <c r="F6" s="9">
        <f t="shared" ref="F6:F9" si="0">+E6*C6</f>
        <v>84000</v>
      </c>
    </row>
    <row r="7" spans="3:6" x14ac:dyDescent="0.25">
      <c r="C7">
        <v>5</v>
      </c>
      <c r="D7" t="s">
        <v>593</v>
      </c>
      <c r="E7" s="9">
        <v>24000</v>
      </c>
      <c r="F7" s="9">
        <f t="shared" si="0"/>
        <v>120000</v>
      </c>
    </row>
    <row r="8" spans="3:6" x14ac:dyDescent="0.25">
      <c r="C8">
        <v>1</v>
      </c>
      <c r="D8" t="s">
        <v>594</v>
      </c>
      <c r="E8" s="9">
        <v>41000</v>
      </c>
      <c r="F8" s="9">
        <f t="shared" si="0"/>
        <v>41000</v>
      </c>
    </row>
    <row r="9" spans="3:6" x14ac:dyDescent="0.25">
      <c r="C9">
        <v>2</v>
      </c>
      <c r="D9" t="s">
        <v>595</v>
      </c>
      <c r="E9" s="9">
        <v>38000</v>
      </c>
      <c r="F9" s="9">
        <f t="shared" si="0"/>
        <v>76000</v>
      </c>
    </row>
    <row r="10" spans="3:6" x14ac:dyDescent="0.25">
      <c r="E10" s="9"/>
      <c r="F10" s="9"/>
    </row>
    <row r="11" spans="3:6" x14ac:dyDescent="0.25">
      <c r="E11" s="9"/>
      <c r="F11" s="9">
        <f>SUM(F4:F10)</f>
        <v>474600</v>
      </c>
    </row>
    <row r="12" spans="3:6" x14ac:dyDescent="0.25">
      <c r="E12" s="9"/>
      <c r="F12" s="9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2:H17"/>
  <sheetViews>
    <sheetView workbookViewId="0">
      <selection activeCell="H17" sqref="B2:H17"/>
    </sheetView>
  </sheetViews>
  <sheetFormatPr defaultColWidth="11.42578125" defaultRowHeight="15" x14ac:dyDescent="0.25"/>
  <cols>
    <col min="2" max="2" width="46.28515625" bestFit="1" customWidth="1"/>
    <col min="6" max="6" width="21.42578125" bestFit="1" customWidth="1"/>
  </cols>
  <sheetData>
    <row r="2" spans="2:8" x14ac:dyDescent="0.25">
      <c r="B2" s="5" t="s">
        <v>30</v>
      </c>
      <c r="C2" s="5" t="s">
        <v>3</v>
      </c>
      <c r="D2" s="6">
        <v>13500</v>
      </c>
      <c r="F2" s="5" t="s">
        <v>53</v>
      </c>
      <c r="G2" s="5" t="s">
        <v>8</v>
      </c>
      <c r="H2" s="6">
        <v>35000</v>
      </c>
    </row>
    <row r="3" spans="2:8" x14ac:dyDescent="0.25">
      <c r="B3" s="2" t="s">
        <v>470</v>
      </c>
      <c r="C3" s="2" t="s">
        <v>3</v>
      </c>
      <c r="D3" s="8">
        <v>13000</v>
      </c>
      <c r="F3" s="5" t="s">
        <v>469</v>
      </c>
      <c r="G3" s="2" t="s">
        <v>24</v>
      </c>
      <c r="H3" s="8">
        <v>16000</v>
      </c>
    </row>
    <row r="4" spans="2:8" x14ac:dyDescent="0.25">
      <c r="B4" s="5" t="s">
        <v>12</v>
      </c>
      <c r="C4" s="5" t="s">
        <v>11</v>
      </c>
      <c r="D4" s="6">
        <v>26000</v>
      </c>
      <c r="F4" s="5" t="s">
        <v>90</v>
      </c>
      <c r="G4" s="5" t="s">
        <v>24</v>
      </c>
      <c r="H4" s="6">
        <v>18500</v>
      </c>
    </row>
    <row r="5" spans="2:8" x14ac:dyDescent="0.25">
      <c r="B5" s="5" t="s">
        <v>66</v>
      </c>
      <c r="C5" s="5" t="s">
        <v>21</v>
      </c>
      <c r="D5" s="6">
        <v>26500</v>
      </c>
      <c r="F5" s="5" t="s">
        <v>90</v>
      </c>
      <c r="G5" s="5" t="s">
        <v>88</v>
      </c>
      <c r="H5" s="6">
        <v>2700</v>
      </c>
    </row>
    <row r="6" spans="2:8" x14ac:dyDescent="0.25">
      <c r="B6" s="5" t="s">
        <v>452</v>
      </c>
      <c r="C6" s="5" t="s">
        <v>21</v>
      </c>
      <c r="D6" s="6">
        <v>23800</v>
      </c>
      <c r="F6" s="2" t="s">
        <v>196</v>
      </c>
      <c r="G6" s="2" t="s">
        <v>125</v>
      </c>
      <c r="H6" s="10">
        <v>17000</v>
      </c>
    </row>
    <row r="7" spans="2:8" x14ac:dyDescent="0.25">
      <c r="B7" s="5" t="s">
        <v>76</v>
      </c>
      <c r="C7" s="5" t="s">
        <v>41</v>
      </c>
      <c r="D7" s="6">
        <v>20000</v>
      </c>
      <c r="F7" s="5" t="s">
        <v>162</v>
      </c>
      <c r="G7" s="5" t="s">
        <v>160</v>
      </c>
      <c r="H7" s="8">
        <v>50000</v>
      </c>
    </row>
    <row r="8" spans="2:8" x14ac:dyDescent="0.25">
      <c r="B8" s="5" t="s">
        <v>85</v>
      </c>
      <c r="C8" s="5" t="s">
        <v>41</v>
      </c>
      <c r="D8" s="6">
        <v>24500</v>
      </c>
      <c r="F8" s="5" t="s">
        <v>162</v>
      </c>
      <c r="G8" s="5" t="s">
        <v>24</v>
      </c>
      <c r="H8" s="8">
        <v>24300</v>
      </c>
    </row>
    <row r="9" spans="2:8" x14ac:dyDescent="0.25">
      <c r="B9" s="5" t="s">
        <v>100</v>
      </c>
      <c r="C9" s="2" t="s">
        <v>3</v>
      </c>
      <c r="D9" s="8">
        <v>19500</v>
      </c>
      <c r="F9" s="5" t="s">
        <v>471</v>
      </c>
      <c r="G9" s="2" t="s">
        <v>3</v>
      </c>
      <c r="H9" s="8">
        <v>23500</v>
      </c>
    </row>
    <row r="10" spans="2:8" x14ac:dyDescent="0.25">
      <c r="B10" s="5" t="s">
        <v>95</v>
      </c>
      <c r="C10" s="2" t="s">
        <v>3</v>
      </c>
      <c r="D10" s="8">
        <v>21000</v>
      </c>
    </row>
    <row r="11" spans="2:8" x14ac:dyDescent="0.25">
      <c r="B11" s="2" t="s">
        <v>202</v>
      </c>
      <c r="C11" s="2" t="s">
        <v>203</v>
      </c>
      <c r="D11" s="10">
        <v>47500</v>
      </c>
    </row>
    <row r="12" spans="2:8" x14ac:dyDescent="0.25">
      <c r="B12" s="2" t="s">
        <v>150</v>
      </c>
      <c r="C12" s="2" t="s">
        <v>21</v>
      </c>
      <c r="D12" s="10">
        <v>49000</v>
      </c>
    </row>
    <row r="13" spans="2:8" x14ac:dyDescent="0.25">
      <c r="B13" s="5" t="s">
        <v>174</v>
      </c>
      <c r="C13" s="5" t="s">
        <v>175</v>
      </c>
      <c r="D13" s="8">
        <v>41000</v>
      </c>
    </row>
    <row r="14" spans="2:8" x14ac:dyDescent="0.25">
      <c r="B14" s="5" t="s">
        <v>118</v>
      </c>
      <c r="C14" s="5" t="s">
        <v>3</v>
      </c>
      <c r="D14" s="6">
        <v>18700</v>
      </c>
    </row>
    <row r="15" spans="2:8" x14ac:dyDescent="0.25">
      <c r="B15" s="5" t="s">
        <v>118</v>
      </c>
      <c r="C15" s="5" t="s">
        <v>47</v>
      </c>
      <c r="D15" s="6">
        <v>9500</v>
      </c>
    </row>
    <row r="16" spans="2:8" x14ac:dyDescent="0.25">
      <c r="B16" s="5" t="s">
        <v>472</v>
      </c>
      <c r="C16" s="2" t="s">
        <v>67</v>
      </c>
      <c r="D16" s="8">
        <v>39500</v>
      </c>
    </row>
    <row r="17" spans="2:4" x14ac:dyDescent="0.25">
      <c r="B17" s="2" t="s">
        <v>391</v>
      </c>
      <c r="C17" s="2" t="s">
        <v>364</v>
      </c>
      <c r="D17" s="10">
        <v>32700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J43"/>
  <sheetViews>
    <sheetView workbookViewId="0">
      <selection activeCell="H20" sqref="H20"/>
    </sheetView>
  </sheetViews>
  <sheetFormatPr defaultColWidth="11.42578125" defaultRowHeight="15" x14ac:dyDescent="0.25"/>
  <cols>
    <col min="1" max="1" width="15.140625" bestFit="1" customWidth="1"/>
    <col min="2" max="2" width="12.5703125" bestFit="1" customWidth="1"/>
    <col min="3" max="3" width="58.28515625" bestFit="1" customWidth="1"/>
    <col min="4" max="4" width="12.85546875" bestFit="1" customWidth="1"/>
    <col min="5" max="5" width="13.42578125" bestFit="1" customWidth="1"/>
    <col min="8" max="8" width="26" bestFit="1" customWidth="1"/>
  </cols>
  <sheetData>
    <row r="1" spans="1:10" ht="18.75" x14ac:dyDescent="0.3">
      <c r="A1" s="14" t="s">
        <v>192</v>
      </c>
      <c r="B1" s="14" t="s">
        <v>247</v>
      </c>
      <c r="C1" s="15" t="s">
        <v>248</v>
      </c>
      <c r="D1" s="15" t="s">
        <v>193</v>
      </c>
      <c r="E1" s="15" t="s">
        <v>249</v>
      </c>
    </row>
    <row r="2" spans="1:10" x14ac:dyDescent="0.25">
      <c r="A2" s="144" t="s">
        <v>112</v>
      </c>
      <c r="B2" s="147" t="s">
        <v>4</v>
      </c>
      <c r="C2" s="2" t="s">
        <v>113</v>
      </c>
      <c r="D2" s="2" t="s">
        <v>21</v>
      </c>
      <c r="E2" s="10">
        <v>39000</v>
      </c>
    </row>
    <row r="3" spans="1:10" x14ac:dyDescent="0.25">
      <c r="A3" s="145"/>
      <c r="B3" s="170"/>
      <c r="C3" s="2" t="s">
        <v>114</v>
      </c>
      <c r="D3" s="2" t="s">
        <v>21</v>
      </c>
      <c r="E3" s="10">
        <v>36000</v>
      </c>
    </row>
    <row r="4" spans="1:10" x14ac:dyDescent="0.25">
      <c r="A4" s="146"/>
      <c r="B4" s="171"/>
      <c r="C4" s="2" t="s">
        <v>115</v>
      </c>
      <c r="D4" s="2" t="s">
        <v>21</v>
      </c>
      <c r="E4" s="10">
        <v>37000</v>
      </c>
    </row>
    <row r="6" spans="1:10" x14ac:dyDescent="0.25">
      <c r="A6" s="172" t="s">
        <v>195</v>
      </c>
      <c r="B6" s="147" t="s">
        <v>1</v>
      </c>
      <c r="C6" s="2" t="s">
        <v>196</v>
      </c>
      <c r="D6" s="2" t="s">
        <v>125</v>
      </c>
      <c r="E6" s="10">
        <v>17000</v>
      </c>
    </row>
    <row r="7" spans="1:10" x14ac:dyDescent="0.25">
      <c r="A7" s="172"/>
      <c r="B7" s="148"/>
      <c r="C7" s="2" t="s">
        <v>197</v>
      </c>
      <c r="D7" s="2" t="s">
        <v>125</v>
      </c>
      <c r="E7" s="10">
        <v>15000</v>
      </c>
    </row>
    <row r="8" spans="1:10" x14ac:dyDescent="0.25">
      <c r="A8" s="172"/>
      <c r="B8" s="148"/>
      <c r="C8" s="2" t="s">
        <v>197</v>
      </c>
      <c r="D8" s="2" t="s">
        <v>3</v>
      </c>
      <c r="E8" s="10">
        <v>55000</v>
      </c>
    </row>
    <row r="9" spans="1:10" x14ac:dyDescent="0.25">
      <c r="A9" s="172"/>
      <c r="B9" s="148"/>
      <c r="C9" s="2" t="s">
        <v>198</v>
      </c>
      <c r="D9" s="2" t="s">
        <v>125</v>
      </c>
      <c r="E9" s="10">
        <v>15500</v>
      </c>
    </row>
    <row r="10" spans="1:10" x14ac:dyDescent="0.25">
      <c r="A10" s="172"/>
      <c r="B10" s="148"/>
      <c r="C10" s="2" t="s">
        <v>198</v>
      </c>
      <c r="D10" s="2" t="s">
        <v>3</v>
      </c>
      <c r="E10" s="10">
        <v>57000</v>
      </c>
    </row>
    <row r="11" spans="1:10" x14ac:dyDescent="0.25">
      <c r="A11" s="172"/>
      <c r="B11" s="148"/>
      <c r="C11" s="2" t="s">
        <v>199</v>
      </c>
      <c r="D11" s="2" t="s">
        <v>125</v>
      </c>
      <c r="E11" s="10">
        <v>15500</v>
      </c>
      <c r="H11" s="2"/>
      <c r="I11" s="2"/>
      <c r="J11" s="10"/>
    </row>
    <row r="12" spans="1:10" x14ac:dyDescent="0.25">
      <c r="A12" s="172"/>
      <c r="B12" s="148"/>
      <c r="C12" s="2" t="s">
        <v>199</v>
      </c>
      <c r="D12" s="2" t="s">
        <v>3</v>
      </c>
      <c r="E12" s="10">
        <v>57000</v>
      </c>
      <c r="H12" s="2"/>
      <c r="I12" s="2"/>
      <c r="J12" s="10"/>
    </row>
    <row r="13" spans="1:10" x14ac:dyDescent="0.25">
      <c r="A13" s="172"/>
      <c r="B13" s="148"/>
      <c r="C13" s="2" t="s">
        <v>200</v>
      </c>
      <c r="D13" s="2" t="s">
        <v>125</v>
      </c>
      <c r="E13" s="10">
        <v>15500</v>
      </c>
    </row>
    <row r="14" spans="1:10" x14ac:dyDescent="0.25">
      <c r="A14" s="172"/>
      <c r="B14" s="148"/>
      <c r="C14" s="2" t="s">
        <v>200</v>
      </c>
      <c r="D14" s="2" t="s">
        <v>3</v>
      </c>
      <c r="E14" s="10">
        <v>57000</v>
      </c>
    </row>
    <row r="15" spans="1:10" x14ac:dyDescent="0.25">
      <c r="A15" s="172"/>
      <c r="B15" s="148"/>
      <c r="C15" s="2" t="s">
        <v>201</v>
      </c>
      <c r="D15" s="2" t="s">
        <v>125</v>
      </c>
      <c r="E15" s="10">
        <v>15000</v>
      </c>
    </row>
    <row r="16" spans="1:10" x14ac:dyDescent="0.25">
      <c r="A16" s="172"/>
      <c r="B16" s="149"/>
      <c r="C16" s="11" t="s">
        <v>201</v>
      </c>
      <c r="D16" s="11" t="s">
        <v>3</v>
      </c>
      <c r="E16" s="10">
        <v>52000</v>
      </c>
    </row>
    <row r="17" spans="1:5" x14ac:dyDescent="0.25">
      <c r="A17" s="172"/>
      <c r="B17" s="139" t="s">
        <v>4</v>
      </c>
      <c r="C17" s="2" t="s">
        <v>202</v>
      </c>
      <c r="D17" s="2" t="s">
        <v>203</v>
      </c>
      <c r="E17" s="10">
        <v>47500</v>
      </c>
    </row>
    <row r="18" spans="1:5" x14ac:dyDescent="0.25">
      <c r="A18" s="172"/>
      <c r="B18" s="139"/>
      <c r="C18" s="2" t="s">
        <v>204</v>
      </c>
      <c r="D18" s="2" t="s">
        <v>203</v>
      </c>
      <c r="E18" s="10">
        <v>50000</v>
      </c>
    </row>
    <row r="19" spans="1:5" x14ac:dyDescent="0.25">
      <c r="A19" s="172"/>
      <c r="B19" s="139"/>
      <c r="C19" s="2" t="s">
        <v>205</v>
      </c>
      <c r="D19" s="2" t="s">
        <v>203</v>
      </c>
      <c r="E19" s="10">
        <v>47000</v>
      </c>
    </row>
    <row r="20" spans="1:5" x14ac:dyDescent="0.25">
      <c r="A20" s="172"/>
      <c r="B20" s="139"/>
      <c r="C20" s="2" t="s">
        <v>206</v>
      </c>
      <c r="D20" s="2" t="s">
        <v>207</v>
      </c>
      <c r="E20" s="10">
        <v>47700</v>
      </c>
    </row>
    <row r="21" spans="1:5" x14ac:dyDescent="0.25">
      <c r="A21" s="172"/>
      <c r="B21" s="139"/>
      <c r="C21" s="2" t="s">
        <v>208</v>
      </c>
      <c r="D21" s="2" t="s">
        <v>209</v>
      </c>
      <c r="E21" s="10">
        <v>28000</v>
      </c>
    </row>
    <row r="22" spans="1:5" x14ac:dyDescent="0.25">
      <c r="A22" s="172"/>
      <c r="B22" s="139"/>
      <c r="C22" s="2" t="s">
        <v>210</v>
      </c>
      <c r="D22" s="2" t="s">
        <v>209</v>
      </c>
      <c r="E22" s="10">
        <v>28000</v>
      </c>
    </row>
    <row r="23" spans="1:5" x14ac:dyDescent="0.25">
      <c r="A23" s="172"/>
      <c r="B23" s="139"/>
      <c r="C23" s="2" t="s">
        <v>211</v>
      </c>
      <c r="D23" s="2" t="s">
        <v>3</v>
      </c>
      <c r="E23" s="10">
        <v>40000</v>
      </c>
    </row>
    <row r="24" spans="1:5" x14ac:dyDescent="0.25">
      <c r="A24" s="172"/>
      <c r="B24" s="139"/>
      <c r="C24" s="2" t="s">
        <v>212</v>
      </c>
      <c r="D24" s="2" t="s">
        <v>209</v>
      </c>
      <c r="E24" s="10">
        <v>28000</v>
      </c>
    </row>
    <row r="25" spans="1:5" x14ac:dyDescent="0.25">
      <c r="A25" s="172"/>
      <c r="B25" s="139"/>
      <c r="C25" s="2" t="s">
        <v>213</v>
      </c>
      <c r="D25" s="2" t="s">
        <v>203</v>
      </c>
      <c r="E25" s="10">
        <v>53500</v>
      </c>
    </row>
    <row r="26" spans="1:5" x14ac:dyDescent="0.25">
      <c r="A26" s="172"/>
      <c r="B26" s="139"/>
      <c r="C26" s="2" t="s">
        <v>214</v>
      </c>
      <c r="D26" s="2" t="s">
        <v>203</v>
      </c>
      <c r="E26" s="10">
        <v>56000</v>
      </c>
    </row>
    <row r="27" spans="1:5" x14ac:dyDescent="0.25">
      <c r="A27" s="172"/>
      <c r="B27" s="139"/>
      <c r="C27" s="2" t="s">
        <v>215</v>
      </c>
      <c r="D27" s="2" t="s">
        <v>203</v>
      </c>
      <c r="E27" s="10">
        <v>61000</v>
      </c>
    </row>
    <row r="28" spans="1:5" x14ac:dyDescent="0.25">
      <c r="A28" s="172"/>
      <c r="B28" s="139"/>
      <c r="C28" s="2" t="s">
        <v>216</v>
      </c>
      <c r="D28" s="2" t="s">
        <v>203</v>
      </c>
      <c r="E28" s="10">
        <v>50500</v>
      </c>
    </row>
    <row r="29" spans="1:5" x14ac:dyDescent="0.25">
      <c r="A29" s="172"/>
      <c r="B29" s="139"/>
      <c r="C29" s="2" t="s">
        <v>217</v>
      </c>
      <c r="D29" s="2" t="s">
        <v>203</v>
      </c>
      <c r="E29" s="10">
        <v>48000</v>
      </c>
    </row>
    <row r="30" spans="1:5" x14ac:dyDescent="0.25">
      <c r="A30" s="172"/>
      <c r="B30" s="139"/>
      <c r="C30" s="2" t="s">
        <v>218</v>
      </c>
      <c r="D30" s="2" t="s">
        <v>203</v>
      </c>
      <c r="E30" s="10">
        <v>48000</v>
      </c>
    </row>
    <row r="31" spans="1:5" x14ac:dyDescent="0.25">
      <c r="A31" s="172"/>
      <c r="B31" s="139"/>
      <c r="C31" s="2" t="s">
        <v>219</v>
      </c>
      <c r="D31" s="2" t="s">
        <v>203</v>
      </c>
      <c r="E31" s="10">
        <v>49500</v>
      </c>
    </row>
    <row r="33" spans="1:5" x14ac:dyDescent="0.25">
      <c r="A33" s="158" t="s">
        <v>143</v>
      </c>
      <c r="B33" s="147" t="s">
        <v>1</v>
      </c>
      <c r="C33" s="2" t="s">
        <v>144</v>
      </c>
      <c r="D33" s="2" t="s">
        <v>3</v>
      </c>
      <c r="E33" s="8">
        <v>35000</v>
      </c>
    </row>
    <row r="34" spans="1:5" x14ac:dyDescent="0.25">
      <c r="A34" s="159"/>
      <c r="B34" s="148"/>
      <c r="C34" s="2" t="s">
        <v>145</v>
      </c>
      <c r="D34" s="2" t="s">
        <v>146</v>
      </c>
      <c r="E34" s="8">
        <v>11500</v>
      </c>
    </row>
    <row r="35" spans="1:5" x14ac:dyDescent="0.25">
      <c r="A35" s="159"/>
      <c r="B35" s="148"/>
      <c r="C35" s="2" t="s">
        <v>147</v>
      </c>
      <c r="D35" s="2" t="s">
        <v>146</v>
      </c>
      <c r="E35" s="8">
        <v>11500</v>
      </c>
    </row>
    <row r="36" spans="1:5" x14ac:dyDescent="0.25">
      <c r="A36" s="159"/>
      <c r="B36" s="148"/>
      <c r="C36" s="2" t="s">
        <v>148</v>
      </c>
      <c r="D36" s="2" t="s">
        <v>3</v>
      </c>
      <c r="E36" s="8">
        <v>36000</v>
      </c>
    </row>
    <row r="37" spans="1:5" x14ac:dyDescent="0.25">
      <c r="A37" s="159"/>
      <c r="B37" s="148"/>
      <c r="C37" s="2" t="s">
        <v>149</v>
      </c>
      <c r="D37" s="2" t="s">
        <v>146</v>
      </c>
      <c r="E37" s="8">
        <v>11500</v>
      </c>
    </row>
    <row r="38" spans="1:5" x14ac:dyDescent="0.25">
      <c r="A38" s="159"/>
      <c r="B38" s="149"/>
      <c r="C38" s="2" t="s">
        <v>149</v>
      </c>
      <c r="D38" s="2" t="s">
        <v>3</v>
      </c>
      <c r="E38" s="8">
        <v>38000</v>
      </c>
    </row>
    <row r="39" spans="1:5" x14ac:dyDescent="0.25">
      <c r="A39" s="159"/>
      <c r="B39" s="139" t="s">
        <v>4</v>
      </c>
      <c r="C39" s="2" t="s">
        <v>150</v>
      </c>
      <c r="D39" s="2" t="s">
        <v>21</v>
      </c>
      <c r="E39" s="10">
        <v>49000</v>
      </c>
    </row>
    <row r="40" spans="1:5" x14ac:dyDescent="0.25">
      <c r="A40" s="159"/>
      <c r="B40" s="140"/>
      <c r="C40" s="2" t="s">
        <v>151</v>
      </c>
      <c r="D40" s="2" t="s">
        <v>21</v>
      </c>
      <c r="E40" s="10">
        <v>48500</v>
      </c>
    </row>
    <row r="41" spans="1:5" x14ac:dyDescent="0.25">
      <c r="A41" s="159"/>
      <c r="B41" s="140"/>
      <c r="C41" s="2" t="s">
        <v>152</v>
      </c>
      <c r="D41" s="2" t="s">
        <v>41</v>
      </c>
      <c r="E41" s="10">
        <v>48000</v>
      </c>
    </row>
    <row r="42" spans="1:5" x14ac:dyDescent="0.25">
      <c r="A42" s="159"/>
      <c r="B42" s="140"/>
      <c r="C42" s="2" t="s">
        <v>153</v>
      </c>
      <c r="D42" s="2" t="s">
        <v>21</v>
      </c>
      <c r="E42" s="10">
        <v>51500</v>
      </c>
    </row>
    <row r="43" spans="1:5" x14ac:dyDescent="0.25">
      <c r="A43" s="160"/>
      <c r="B43" s="140"/>
      <c r="C43" s="2" t="s">
        <v>154</v>
      </c>
      <c r="D43" s="2" t="s">
        <v>41</v>
      </c>
      <c r="E43" s="10">
        <v>39000</v>
      </c>
    </row>
  </sheetData>
  <mergeCells count="8">
    <mergeCell ref="A33:A43"/>
    <mergeCell ref="B33:B38"/>
    <mergeCell ref="B39:B43"/>
    <mergeCell ref="A2:A4"/>
    <mergeCell ref="B2:B4"/>
    <mergeCell ref="A6:A31"/>
    <mergeCell ref="B6:B16"/>
    <mergeCell ref="B17:B3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"/>
  <sheetViews>
    <sheetView workbookViewId="0"/>
  </sheetViews>
  <sheetFormatPr defaultColWidth="11.42578125" defaultRowHeight="15" x14ac:dyDescent="0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B2:E44"/>
  <sheetViews>
    <sheetView topLeftCell="A32" workbookViewId="0">
      <selection activeCell="B2" sqref="B2:E44"/>
    </sheetView>
  </sheetViews>
  <sheetFormatPr defaultColWidth="11.42578125" defaultRowHeight="15" x14ac:dyDescent="0.25"/>
  <cols>
    <col min="2" max="2" width="12.5703125" bestFit="1" customWidth="1"/>
    <col min="3" max="3" width="58.28515625" bestFit="1" customWidth="1"/>
    <col min="4" max="4" width="12.85546875" bestFit="1" customWidth="1"/>
    <col min="5" max="5" width="13.42578125" bestFit="1" customWidth="1"/>
  </cols>
  <sheetData>
    <row r="2" spans="2:5" ht="18.75" x14ac:dyDescent="0.3">
      <c r="B2" s="14" t="s">
        <v>247</v>
      </c>
      <c r="C2" s="15" t="s">
        <v>248</v>
      </c>
      <c r="D2" s="15" t="s">
        <v>193</v>
      </c>
      <c r="E2" s="15" t="s">
        <v>249</v>
      </c>
    </row>
    <row r="3" spans="2:5" x14ac:dyDescent="0.25">
      <c r="B3" s="147" t="s">
        <v>4</v>
      </c>
      <c r="C3" s="2" t="s">
        <v>113</v>
      </c>
      <c r="D3" s="2" t="s">
        <v>21</v>
      </c>
      <c r="E3" s="10">
        <v>39000</v>
      </c>
    </row>
    <row r="4" spans="2:5" x14ac:dyDescent="0.25">
      <c r="B4" s="170"/>
      <c r="C4" s="2" t="s">
        <v>114</v>
      </c>
      <c r="D4" s="2" t="s">
        <v>21</v>
      </c>
      <c r="E4" s="10">
        <v>36000</v>
      </c>
    </row>
    <row r="5" spans="2:5" x14ac:dyDescent="0.25">
      <c r="B5" s="171"/>
      <c r="C5" s="2" t="s">
        <v>115</v>
      </c>
      <c r="D5" s="2" t="s">
        <v>21</v>
      </c>
      <c r="E5" s="10">
        <v>37000</v>
      </c>
    </row>
    <row r="7" spans="2:5" x14ac:dyDescent="0.25">
      <c r="B7" s="147" t="s">
        <v>1</v>
      </c>
      <c r="C7" s="2" t="s">
        <v>196</v>
      </c>
      <c r="D7" s="2" t="s">
        <v>125</v>
      </c>
      <c r="E7" s="10">
        <v>17000</v>
      </c>
    </row>
    <row r="8" spans="2:5" x14ac:dyDescent="0.25">
      <c r="B8" s="148"/>
      <c r="C8" s="2" t="s">
        <v>197</v>
      </c>
      <c r="D8" s="2" t="s">
        <v>125</v>
      </c>
      <c r="E8" s="10">
        <v>15000</v>
      </c>
    </row>
    <row r="9" spans="2:5" x14ac:dyDescent="0.25">
      <c r="B9" s="148"/>
      <c r="C9" s="2" t="s">
        <v>197</v>
      </c>
      <c r="D9" s="2" t="s">
        <v>3</v>
      </c>
      <c r="E9" s="10">
        <v>55000</v>
      </c>
    </row>
    <row r="10" spans="2:5" x14ac:dyDescent="0.25">
      <c r="B10" s="148"/>
      <c r="C10" s="2" t="s">
        <v>198</v>
      </c>
      <c r="D10" s="2" t="s">
        <v>125</v>
      </c>
      <c r="E10" s="10">
        <v>15500</v>
      </c>
    </row>
    <row r="11" spans="2:5" x14ac:dyDescent="0.25">
      <c r="B11" s="148"/>
      <c r="C11" s="2" t="s">
        <v>198</v>
      </c>
      <c r="D11" s="2" t="s">
        <v>3</v>
      </c>
      <c r="E11" s="10">
        <v>57000</v>
      </c>
    </row>
    <row r="12" spans="2:5" x14ac:dyDescent="0.25">
      <c r="B12" s="148"/>
      <c r="C12" s="2" t="s">
        <v>199</v>
      </c>
      <c r="D12" s="2" t="s">
        <v>125</v>
      </c>
      <c r="E12" s="10">
        <v>15500</v>
      </c>
    </row>
    <row r="13" spans="2:5" x14ac:dyDescent="0.25">
      <c r="B13" s="148"/>
      <c r="C13" s="2" t="s">
        <v>199</v>
      </c>
      <c r="D13" s="2" t="s">
        <v>3</v>
      </c>
      <c r="E13" s="10">
        <v>57000</v>
      </c>
    </row>
    <row r="14" spans="2:5" x14ac:dyDescent="0.25">
      <c r="B14" s="148"/>
      <c r="C14" s="2" t="s">
        <v>200</v>
      </c>
      <c r="D14" s="2" t="s">
        <v>125</v>
      </c>
      <c r="E14" s="10">
        <v>15500</v>
      </c>
    </row>
    <row r="15" spans="2:5" x14ac:dyDescent="0.25">
      <c r="B15" s="148"/>
      <c r="C15" s="2" t="s">
        <v>200</v>
      </c>
      <c r="D15" s="2" t="s">
        <v>3</v>
      </c>
      <c r="E15" s="10">
        <v>57000</v>
      </c>
    </row>
    <row r="16" spans="2:5" x14ac:dyDescent="0.25">
      <c r="B16" s="148"/>
      <c r="C16" s="2" t="s">
        <v>201</v>
      </c>
      <c r="D16" s="2" t="s">
        <v>125</v>
      </c>
      <c r="E16" s="10">
        <v>15000</v>
      </c>
    </row>
    <row r="17" spans="2:5" x14ac:dyDescent="0.25">
      <c r="B17" s="149"/>
      <c r="C17" s="11" t="s">
        <v>201</v>
      </c>
      <c r="D17" s="11" t="s">
        <v>3</v>
      </c>
      <c r="E17" s="10">
        <v>52000</v>
      </c>
    </row>
    <row r="18" spans="2:5" x14ac:dyDescent="0.25">
      <c r="B18" s="139" t="s">
        <v>4</v>
      </c>
      <c r="C18" s="2" t="s">
        <v>202</v>
      </c>
      <c r="D18" s="2" t="s">
        <v>203</v>
      </c>
      <c r="E18" s="10">
        <v>47500</v>
      </c>
    </row>
    <row r="19" spans="2:5" x14ac:dyDescent="0.25">
      <c r="B19" s="139"/>
      <c r="C19" s="2" t="s">
        <v>204</v>
      </c>
      <c r="D19" s="2" t="s">
        <v>203</v>
      </c>
      <c r="E19" s="10">
        <v>50000</v>
      </c>
    </row>
    <row r="20" spans="2:5" x14ac:dyDescent="0.25">
      <c r="B20" s="139"/>
      <c r="C20" s="2" t="s">
        <v>205</v>
      </c>
      <c r="D20" s="2" t="s">
        <v>203</v>
      </c>
      <c r="E20" s="10">
        <v>47000</v>
      </c>
    </row>
    <row r="21" spans="2:5" x14ac:dyDescent="0.25">
      <c r="B21" s="139"/>
      <c r="C21" s="2" t="s">
        <v>206</v>
      </c>
      <c r="D21" s="2" t="s">
        <v>207</v>
      </c>
      <c r="E21" s="10">
        <v>47700</v>
      </c>
    </row>
    <row r="22" spans="2:5" x14ac:dyDescent="0.25">
      <c r="B22" s="139"/>
      <c r="C22" s="2" t="s">
        <v>208</v>
      </c>
      <c r="D22" s="2" t="s">
        <v>209</v>
      </c>
      <c r="E22" s="10">
        <v>28000</v>
      </c>
    </row>
    <row r="23" spans="2:5" x14ac:dyDescent="0.25">
      <c r="B23" s="139"/>
      <c r="C23" s="2" t="s">
        <v>210</v>
      </c>
      <c r="D23" s="2" t="s">
        <v>209</v>
      </c>
      <c r="E23" s="10">
        <v>28000</v>
      </c>
    </row>
    <row r="24" spans="2:5" x14ac:dyDescent="0.25">
      <c r="B24" s="139"/>
      <c r="C24" s="2" t="s">
        <v>211</v>
      </c>
      <c r="D24" s="2" t="s">
        <v>3</v>
      </c>
      <c r="E24" s="10">
        <v>40000</v>
      </c>
    </row>
    <row r="25" spans="2:5" x14ac:dyDescent="0.25">
      <c r="B25" s="139"/>
      <c r="C25" s="2" t="s">
        <v>212</v>
      </c>
      <c r="D25" s="2" t="s">
        <v>209</v>
      </c>
      <c r="E25" s="10">
        <v>28000</v>
      </c>
    </row>
    <row r="26" spans="2:5" x14ac:dyDescent="0.25">
      <c r="B26" s="139"/>
      <c r="C26" s="2" t="s">
        <v>213</v>
      </c>
      <c r="D26" s="2" t="s">
        <v>203</v>
      </c>
      <c r="E26" s="10">
        <v>53500</v>
      </c>
    </row>
    <row r="27" spans="2:5" x14ac:dyDescent="0.25">
      <c r="B27" s="139"/>
      <c r="C27" s="2" t="s">
        <v>214</v>
      </c>
      <c r="D27" s="2" t="s">
        <v>203</v>
      </c>
      <c r="E27" s="10">
        <v>56000</v>
      </c>
    </row>
    <row r="28" spans="2:5" x14ac:dyDescent="0.25">
      <c r="B28" s="139"/>
      <c r="C28" s="2" t="s">
        <v>215</v>
      </c>
      <c r="D28" s="2" t="s">
        <v>203</v>
      </c>
      <c r="E28" s="10">
        <v>61000</v>
      </c>
    </row>
    <row r="29" spans="2:5" x14ac:dyDescent="0.25">
      <c r="B29" s="139"/>
      <c r="C29" s="2" t="s">
        <v>216</v>
      </c>
      <c r="D29" s="2" t="s">
        <v>203</v>
      </c>
      <c r="E29" s="10">
        <v>50500</v>
      </c>
    </row>
    <row r="30" spans="2:5" x14ac:dyDescent="0.25">
      <c r="B30" s="139"/>
      <c r="C30" s="2" t="s">
        <v>217</v>
      </c>
      <c r="D30" s="2" t="s">
        <v>203</v>
      </c>
      <c r="E30" s="10">
        <v>48000</v>
      </c>
    </row>
    <row r="31" spans="2:5" x14ac:dyDescent="0.25">
      <c r="B31" s="139"/>
      <c r="C31" s="2" t="s">
        <v>218</v>
      </c>
      <c r="D31" s="2" t="s">
        <v>203</v>
      </c>
      <c r="E31" s="10">
        <v>48000</v>
      </c>
    </row>
    <row r="32" spans="2:5" x14ac:dyDescent="0.25">
      <c r="B32" s="139"/>
      <c r="C32" s="2" t="s">
        <v>219</v>
      </c>
      <c r="D32" s="2" t="s">
        <v>203</v>
      </c>
      <c r="E32" s="10">
        <v>49500</v>
      </c>
    </row>
    <row r="34" spans="2:5" x14ac:dyDescent="0.25">
      <c r="B34" s="147" t="s">
        <v>1</v>
      </c>
      <c r="C34" s="2" t="s">
        <v>144</v>
      </c>
      <c r="D34" s="2" t="s">
        <v>3</v>
      </c>
      <c r="E34" s="8">
        <v>35000</v>
      </c>
    </row>
    <row r="35" spans="2:5" x14ac:dyDescent="0.25">
      <c r="B35" s="148"/>
      <c r="C35" s="2" t="s">
        <v>145</v>
      </c>
      <c r="D35" s="2" t="s">
        <v>146</v>
      </c>
      <c r="E35" s="8">
        <v>11500</v>
      </c>
    </row>
    <row r="36" spans="2:5" x14ac:dyDescent="0.25">
      <c r="B36" s="148"/>
      <c r="C36" s="2" t="s">
        <v>147</v>
      </c>
      <c r="D36" s="2" t="s">
        <v>146</v>
      </c>
      <c r="E36" s="8">
        <v>11500</v>
      </c>
    </row>
    <row r="37" spans="2:5" x14ac:dyDescent="0.25">
      <c r="B37" s="148"/>
      <c r="C37" s="2" t="s">
        <v>148</v>
      </c>
      <c r="D37" s="2" t="s">
        <v>3</v>
      </c>
      <c r="E37" s="8">
        <v>36000</v>
      </c>
    </row>
    <row r="38" spans="2:5" x14ac:dyDescent="0.25">
      <c r="B38" s="148"/>
      <c r="C38" s="2" t="s">
        <v>149</v>
      </c>
      <c r="D38" s="2" t="s">
        <v>146</v>
      </c>
      <c r="E38" s="8">
        <v>11500</v>
      </c>
    </row>
    <row r="39" spans="2:5" x14ac:dyDescent="0.25">
      <c r="B39" s="149"/>
      <c r="C39" s="2" t="s">
        <v>149</v>
      </c>
      <c r="D39" s="2" t="s">
        <v>3</v>
      </c>
      <c r="E39" s="8">
        <v>38000</v>
      </c>
    </row>
    <row r="40" spans="2:5" x14ac:dyDescent="0.25">
      <c r="B40" s="139" t="s">
        <v>4</v>
      </c>
      <c r="C40" s="2" t="s">
        <v>150</v>
      </c>
      <c r="D40" s="2" t="s">
        <v>21</v>
      </c>
      <c r="E40" s="10">
        <v>49000</v>
      </c>
    </row>
    <row r="41" spans="2:5" x14ac:dyDescent="0.25">
      <c r="B41" s="140"/>
      <c r="C41" s="2" t="s">
        <v>151</v>
      </c>
      <c r="D41" s="2" t="s">
        <v>21</v>
      </c>
      <c r="E41" s="10">
        <v>48500</v>
      </c>
    </row>
    <row r="42" spans="2:5" x14ac:dyDescent="0.25">
      <c r="B42" s="140"/>
      <c r="C42" s="2" t="s">
        <v>152</v>
      </c>
      <c r="D42" s="2" t="s">
        <v>41</v>
      </c>
      <c r="E42" s="10">
        <v>48000</v>
      </c>
    </row>
    <row r="43" spans="2:5" x14ac:dyDescent="0.25">
      <c r="B43" s="140"/>
      <c r="C43" s="2" t="s">
        <v>153</v>
      </c>
      <c r="D43" s="2" t="s">
        <v>21</v>
      </c>
      <c r="E43" s="10">
        <v>51500</v>
      </c>
    </row>
    <row r="44" spans="2:5" x14ac:dyDescent="0.25">
      <c r="B44" s="140"/>
      <c r="C44" s="2" t="s">
        <v>154</v>
      </c>
      <c r="D44" s="2" t="s">
        <v>41</v>
      </c>
      <c r="E44" s="10">
        <v>39000</v>
      </c>
    </row>
  </sheetData>
  <mergeCells count="5">
    <mergeCell ref="B3:B5"/>
    <mergeCell ref="B7:B17"/>
    <mergeCell ref="B18:B32"/>
    <mergeCell ref="B34:B39"/>
    <mergeCell ref="B40:B4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"/>
  <sheetViews>
    <sheetView workbookViewId="0"/>
  </sheetViews>
  <sheetFormatPr defaultColWidth="11.42578125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INDICE</vt:lpstr>
      <vt:lpstr>1.- GEPSA</vt:lpstr>
      <vt:lpstr>2.- TRESKO</vt:lpstr>
      <vt:lpstr>3.- CAROZZI</vt:lpstr>
      <vt:lpstr>5.- CAUPOLICAN</vt:lpstr>
      <vt:lpstr>4.- PROA</vt:lpstr>
      <vt:lpstr>6.- GORCHEN</vt:lpstr>
      <vt:lpstr>7.- ALCA</vt:lpstr>
      <vt:lpstr>8.- NB</vt:lpstr>
      <vt:lpstr>9.- COOPRINSEN</vt:lpstr>
      <vt:lpstr>10.- PURINA</vt:lpstr>
      <vt:lpstr>Hoja7</vt:lpstr>
      <vt:lpstr>10.5.- PURINA PROPLAN</vt:lpstr>
      <vt:lpstr>11.- DRAG PHARMA</vt:lpstr>
      <vt:lpstr>12.- FRAGUS</vt:lpstr>
      <vt:lpstr>13.-ALLENDES</vt:lpstr>
      <vt:lpstr>14.- FREE GO</vt:lpstr>
      <vt:lpstr>Hoja2</vt:lpstr>
      <vt:lpstr>15.- PUNTA DE CORTES</vt:lpstr>
      <vt:lpstr>16.- AGROVET</vt:lpstr>
      <vt:lpstr>17,- ARENAS</vt:lpstr>
      <vt:lpstr>18,- ANTIPARASITARIOS</vt:lpstr>
      <vt:lpstr>19,- SNACK</vt:lpstr>
      <vt:lpstr>20,- HRAZ</vt:lpstr>
      <vt:lpstr>21,- JUGUETES</vt:lpstr>
      <vt:lpstr>NUTRINGEN</vt:lpstr>
      <vt:lpstr>21,- MOR</vt:lpstr>
      <vt:lpstr>22,- NUTRIQUE</vt:lpstr>
      <vt:lpstr>BASE</vt:lpstr>
      <vt:lpstr>Hoja1</vt:lpstr>
      <vt:lpstr>Hoja3</vt:lpstr>
      <vt:lpstr>Hoja4</vt:lpstr>
      <vt:lpstr>Hoja6</vt:lpstr>
      <vt:lpstr>Hoja5</vt:lpstr>
      <vt:lpstr>Hoja8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mariano enrique munoz reyes</cp:lastModifiedBy>
  <cp:lastPrinted>2026-09-14T13:21:12Z</cp:lastPrinted>
  <dcterms:created xsi:type="dcterms:W3CDTF">2025-09-01T12:51:08Z</dcterms:created>
  <dcterms:modified xsi:type="dcterms:W3CDTF">2026-09-25T22:42:38Z</dcterms:modified>
</cp:coreProperties>
</file>