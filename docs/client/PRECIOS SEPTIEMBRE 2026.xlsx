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SEPTIEMBRE\0000. TARIFADO SEPTIEMBRE\"/>
    </mc:Choice>
  </mc:AlternateContent>
  <bookViews>
    <workbookView xWindow="0" yWindow="0" windowWidth="20400" windowHeight="7095" tabRatio="903" firstSheet="14" activeTab="21"/>
  </bookViews>
  <sheets>
    <sheet name="INDICE" sheetId="3" r:id="rId1"/>
    <sheet name="1.- GEPSA" sheetId="2" r:id="rId2"/>
    <sheet name="2.- TRESKO" sheetId="4" r:id="rId3"/>
    <sheet name="3.- CAROZZI" sheetId="5" r:id="rId4"/>
    <sheet name="5.- CAUPOLICAN" sheetId="7" r:id="rId5"/>
    <sheet name="4.- PROA" sheetId="6" r:id="rId6"/>
    <sheet name="6.- GORCHEN" sheetId="8" r:id="rId7"/>
    <sheet name="7.- ALCA" sheetId="9" r:id="rId8"/>
    <sheet name="8.- NB" sheetId="11" r:id="rId9"/>
    <sheet name="9.- COOPRINSEN" sheetId="29" r:id="rId10"/>
    <sheet name="10.- PURINA" sheetId="12" r:id="rId11"/>
    <sheet name="Hoja7" sheetId="42" r:id="rId12"/>
    <sheet name="10.5.- PURINA PROPLAN" sheetId="41" r:id="rId13"/>
    <sheet name="11.- DRAG PHARMA" sheetId="13" r:id="rId14"/>
    <sheet name="12.- FRAGUS" sheetId="14" r:id="rId15"/>
    <sheet name="13.-ALLENDES" sheetId="15" r:id="rId16"/>
    <sheet name="14.- FREE GO" sheetId="17" r:id="rId17"/>
    <sheet name="Hoja2" sheetId="40" r:id="rId18"/>
    <sheet name="15.- PUNTA DE CORTES" sheetId="19" r:id="rId19"/>
    <sheet name="16.- AGROVET" sheetId="20" r:id="rId20"/>
    <sheet name="17,- ARENAS" sheetId="21" r:id="rId21"/>
    <sheet name="18,- ANTIPARASITARIOS" sheetId="22" r:id="rId22"/>
    <sheet name="19,- SNACK" sheetId="38" r:id="rId23"/>
    <sheet name="20,- HRAZ" sheetId="24" r:id="rId24"/>
    <sheet name="21,- JUGUETES" sheetId="39" r:id="rId25"/>
    <sheet name="NUTRINGEN" sheetId="37" r:id="rId26"/>
    <sheet name="21,- MOR" sheetId="26" r:id="rId27"/>
    <sheet name="22,- NUTRIQUE" sheetId="27" r:id="rId28"/>
    <sheet name="BASE" sheetId="25" r:id="rId29"/>
    <sheet name="Hoja1" sheetId="28" r:id="rId30"/>
    <sheet name="Hoja3" sheetId="30" r:id="rId31"/>
    <sheet name="Hoja4" sheetId="31" r:id="rId32"/>
    <sheet name="Hoja6" sheetId="33" r:id="rId33"/>
    <sheet name="Hoja5" sheetId="32" r:id="rId34"/>
    <sheet name="Hoja8" sheetId="35" r:id="rId3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38" l="1"/>
  <c r="H68" i="38" l="1"/>
  <c r="H87" i="38" l="1"/>
  <c r="F14" i="22" l="1"/>
  <c r="H14" i="41" l="1"/>
  <c r="I7" i="41" l="1"/>
  <c r="K7" i="41" s="1"/>
  <c r="I11" i="41"/>
  <c r="K11" i="41" s="1"/>
  <c r="I15" i="41"/>
  <c r="K15" i="41" s="1"/>
  <c r="I19" i="41"/>
  <c r="K19" i="41" s="1"/>
  <c r="H4" i="41"/>
  <c r="I4" i="41" s="1"/>
  <c r="K4" i="41" s="1"/>
  <c r="H5" i="41"/>
  <c r="I5" i="41" s="1"/>
  <c r="K5" i="41" s="1"/>
  <c r="H6" i="41"/>
  <c r="I6" i="41" s="1"/>
  <c r="K6" i="41" s="1"/>
  <c r="H7" i="41"/>
  <c r="H8" i="41"/>
  <c r="I8" i="41" s="1"/>
  <c r="K8" i="41" s="1"/>
  <c r="H9" i="41"/>
  <c r="I9" i="41" s="1"/>
  <c r="K9" i="41" s="1"/>
  <c r="H10" i="41"/>
  <c r="I10" i="41" s="1"/>
  <c r="K10" i="41" s="1"/>
  <c r="H11" i="41"/>
  <c r="H12" i="41"/>
  <c r="I12" i="41" s="1"/>
  <c r="K12" i="41" s="1"/>
  <c r="H13" i="41"/>
  <c r="I13" i="41" s="1"/>
  <c r="K13" i="41" s="1"/>
  <c r="I14" i="41"/>
  <c r="K14" i="41" s="1"/>
  <c r="H15" i="41"/>
  <c r="H16" i="41"/>
  <c r="I16" i="41" s="1"/>
  <c r="K16" i="41" s="1"/>
  <c r="H17" i="41"/>
  <c r="I17" i="41" s="1"/>
  <c r="K17" i="41" s="1"/>
  <c r="H18" i="41"/>
  <c r="I18" i="41" s="1"/>
  <c r="K18" i="41" s="1"/>
  <c r="H19" i="41"/>
  <c r="H3" i="41"/>
  <c r="I3" i="41" s="1"/>
  <c r="K3" i="41" s="1"/>
  <c r="K21" i="41" l="1"/>
  <c r="H45" i="22"/>
  <c r="H48" i="22" s="1"/>
  <c r="K22" i="20" l="1"/>
  <c r="E24" i="20" l="1"/>
  <c r="E23" i="20"/>
  <c r="E22" i="20"/>
  <c r="E21" i="20"/>
  <c r="E20" i="20"/>
  <c r="E19" i="20"/>
  <c r="E18" i="20"/>
  <c r="E17" i="20"/>
  <c r="E16" i="20"/>
  <c r="E15" i="20"/>
  <c r="E13" i="20"/>
  <c r="E12" i="20"/>
  <c r="E11" i="20"/>
  <c r="E10" i="20"/>
  <c r="E9" i="20"/>
  <c r="E8" i="20"/>
  <c r="E7" i="20"/>
  <c r="E6" i="20"/>
  <c r="E5" i="20"/>
  <c r="E4" i="20"/>
  <c r="E3" i="20"/>
  <c r="L53" i="38" l="1"/>
  <c r="L3" i="24" l="1"/>
  <c r="I47" i="21" l="1"/>
  <c r="F21" i="38" l="1"/>
  <c r="F85" i="38"/>
  <c r="F86" i="38"/>
  <c r="K86" i="38"/>
  <c r="F87" i="38"/>
  <c r="F88" i="38"/>
  <c r="K16" i="21" l="1"/>
  <c r="M21" i="37" l="1"/>
  <c r="J24" i="37"/>
  <c r="N10" i="21" l="1"/>
  <c r="P10" i="21" s="1"/>
  <c r="R10" i="21" s="1"/>
  <c r="F11" i="28" l="1"/>
  <c r="F4" i="28"/>
  <c r="F6" i="28"/>
  <c r="F7" i="28"/>
  <c r="F8" i="28"/>
  <c r="F9" i="28"/>
  <c r="F5" i="28"/>
  <c r="J4" i="37" l="1"/>
  <c r="J5" i="37"/>
  <c r="J6" i="37"/>
  <c r="J7" i="37"/>
  <c r="J8" i="37"/>
  <c r="J9" i="37"/>
  <c r="J10" i="37"/>
  <c r="J11" i="37"/>
  <c r="J12" i="37"/>
  <c r="J13" i="37"/>
  <c r="J14" i="37"/>
  <c r="J15" i="37"/>
  <c r="J16" i="37"/>
  <c r="J17" i="37"/>
  <c r="J18" i="37"/>
  <c r="J19" i="37"/>
  <c r="J20" i="37"/>
  <c r="J21" i="37"/>
  <c r="J22" i="37"/>
  <c r="J23" i="37"/>
  <c r="J25" i="37"/>
  <c r="J3" i="37"/>
  <c r="J21" i="8" l="1"/>
  <c r="G15" i="21" l="1"/>
</calcChain>
</file>

<file path=xl/sharedStrings.xml><?xml version="1.0" encoding="utf-8"?>
<sst xmlns="http://schemas.openxmlformats.org/spreadsheetml/2006/main" count="2157" uniqueCount="756">
  <si>
    <t>TRIGONO</t>
  </si>
  <si>
    <t>GATO</t>
  </si>
  <si>
    <t>TRIGONO GATO</t>
  </si>
  <si>
    <t>10KG</t>
  </si>
  <si>
    <t>PERRO</t>
  </si>
  <si>
    <t>BIO-CAT</t>
  </si>
  <si>
    <t>ADULTO</t>
  </si>
  <si>
    <t>ASKAT</t>
  </si>
  <si>
    <t>20KG</t>
  </si>
  <si>
    <t>CACHUPÍN</t>
  </si>
  <si>
    <t>CACHUPÍN ADULTO</t>
  </si>
  <si>
    <t>25KG</t>
  </si>
  <si>
    <t>CACHUPÍN CACHORRO</t>
  </si>
  <si>
    <t>CANITO</t>
  </si>
  <si>
    <t>PERRO ADULTO</t>
  </si>
  <si>
    <t>COMPINCHES PERRO ADULTO</t>
  </si>
  <si>
    <t>COMPINCHES GATO ADULTO</t>
  </si>
  <si>
    <t>EKOSCAT</t>
  </si>
  <si>
    <t>GATO ADULTO</t>
  </si>
  <si>
    <t>9KG</t>
  </si>
  <si>
    <t>REGAL PET</t>
  </si>
  <si>
    <t>18KG</t>
  </si>
  <si>
    <t>SABROCAT</t>
  </si>
  <si>
    <t xml:space="preserve">SABROCAT </t>
  </si>
  <si>
    <t>8KG</t>
  </si>
  <si>
    <t>SABROKAN</t>
  </si>
  <si>
    <t>TYSON</t>
  </si>
  <si>
    <t xml:space="preserve">GUAU FORTE </t>
  </si>
  <si>
    <t xml:space="preserve">PERRO </t>
  </si>
  <si>
    <t>ACOMER</t>
  </si>
  <si>
    <t>ACOMER CACHORRO</t>
  </si>
  <si>
    <t>ACOMER R/P</t>
  </si>
  <si>
    <t>ACOMER ADULTO</t>
  </si>
  <si>
    <t>ACOMER NATURAL</t>
  </si>
  <si>
    <t>22KG</t>
  </si>
  <si>
    <t>ACOMER GATO</t>
  </si>
  <si>
    <t>AMICI</t>
  </si>
  <si>
    <t>ADULTO CARNE</t>
  </si>
  <si>
    <t>CACHORRO</t>
  </si>
  <si>
    <t>GATO PESCADO</t>
  </si>
  <si>
    <t>GATO MIX</t>
  </si>
  <si>
    <t>15KG</t>
  </si>
  <si>
    <t>APPETIT</t>
  </si>
  <si>
    <t>APPETIT PERRO ADULTO PREMIUM</t>
  </si>
  <si>
    <t>APPETIT PERRO CACHORRO PREMIUM</t>
  </si>
  <si>
    <t>APPETIT PERRO SENIOR PREMIUM</t>
  </si>
  <si>
    <t>APPETIT PERRO RAZAS PEQUEÑAS PREMIUM</t>
  </si>
  <si>
    <t>3KG</t>
  </si>
  <si>
    <t>APPETIT GATO TODAS LAS EDADES PREMIUM</t>
  </si>
  <si>
    <t>CHAMPION</t>
  </si>
  <si>
    <t>CHAMPION ADULTO</t>
  </si>
  <si>
    <t>CHAMPION ADULTO RAZA PEQUEÑA</t>
  </si>
  <si>
    <t>CHAMPION SENIOR</t>
  </si>
  <si>
    <t>CHAMPION GATITO</t>
  </si>
  <si>
    <t>CHAMPION CAT</t>
  </si>
  <si>
    <t>GANACAN</t>
  </si>
  <si>
    <t>GANACAN CACHORRO</t>
  </si>
  <si>
    <t>GANACAN ADULTO CARNE</t>
  </si>
  <si>
    <t>GANACAN ADULTO MIX</t>
  </si>
  <si>
    <t>GANACAT</t>
  </si>
  <si>
    <t>GANACAT PESCADO</t>
  </si>
  <si>
    <t>GANACAT MIX</t>
  </si>
  <si>
    <t>MASKO</t>
  </si>
  <si>
    <t xml:space="preserve">MASKO GATO </t>
  </si>
  <si>
    <t>MASKO PERRO</t>
  </si>
  <si>
    <t>MASTER DOG</t>
  </si>
  <si>
    <t>MASTER DOG CACHORRO</t>
  </si>
  <si>
    <t>21KG</t>
  </si>
  <si>
    <t>OFERTA 27.000 AFUERA</t>
  </si>
  <si>
    <t>MASTER DOG ADULTO</t>
  </si>
  <si>
    <t>MASTER DOG ADULTO RAZAS PEQUEÑAS</t>
  </si>
  <si>
    <t>MASTER DOG SENIOR</t>
  </si>
  <si>
    <t>MASTER CAT</t>
  </si>
  <si>
    <t>MASTER CAT SALMÓN</t>
  </si>
  <si>
    <t>MASTER CAT CARNE</t>
  </si>
  <si>
    <t>MASTÍN</t>
  </si>
  <si>
    <t>MASTIN CACHORRO</t>
  </si>
  <si>
    <t>MASTIN ADULTO</t>
  </si>
  <si>
    <t>MASTIN SENIOR</t>
  </si>
  <si>
    <t xml:space="preserve">MASTIN SIGNATURE 15 KG </t>
  </si>
  <si>
    <t xml:space="preserve">15 KG </t>
  </si>
  <si>
    <t>MASTIN ADULTO RAZA PEQUEÑA</t>
  </si>
  <si>
    <t>KONGO</t>
  </si>
  <si>
    <t>KONGO ADULTO</t>
  </si>
  <si>
    <t>1,5KG</t>
  </si>
  <si>
    <t>KONGO CACHORRO</t>
  </si>
  <si>
    <t>KONGO RAZA PEQUEÑA</t>
  </si>
  <si>
    <t>KONGO GATO ADULTO PESCADO</t>
  </si>
  <si>
    <t>1KG</t>
  </si>
  <si>
    <t>KONGO GATO ADULTO POLLO</t>
  </si>
  <si>
    <t>KONGO GATITO</t>
  </si>
  <si>
    <t>NATURAL MEAT</t>
  </si>
  <si>
    <t>15KG+2KG</t>
  </si>
  <si>
    <t>NOMADE</t>
  </si>
  <si>
    <t>NOMADE ADULTO</t>
  </si>
  <si>
    <t>NOMADE CACHORRO</t>
  </si>
  <si>
    <t>NOMADE ADULTO RAZA PEQUEÑA</t>
  </si>
  <si>
    <t>NOMADE GATO</t>
  </si>
  <si>
    <t>VOLLER</t>
  </si>
  <si>
    <t>VOLLER ADULTO</t>
  </si>
  <si>
    <t>VOLLER CACHORRO</t>
  </si>
  <si>
    <t>VOLLER ADULTO RAZA PEQUEÑA</t>
  </si>
  <si>
    <t>VOLLER GATO</t>
  </si>
  <si>
    <t>COMPANY</t>
  </si>
  <si>
    <t xml:space="preserve">ADULTO </t>
  </si>
  <si>
    <t>20+3KG</t>
  </si>
  <si>
    <t>9 LIVES</t>
  </si>
  <si>
    <t>ADULTO PESCADO</t>
  </si>
  <si>
    <t>ADULTO HOGAREÑO</t>
  </si>
  <si>
    <t>15kg</t>
  </si>
  <si>
    <t>GATITO</t>
  </si>
  <si>
    <t>VORAZ</t>
  </si>
  <si>
    <t>BAVARO</t>
  </si>
  <si>
    <t>BAVARO FORCE ADULTO CACHORRO</t>
  </si>
  <si>
    <t>BAVARO TASK ADULTO</t>
  </si>
  <si>
    <t>BAVARO WORK ADULTO</t>
  </si>
  <si>
    <t>FELINNES</t>
  </si>
  <si>
    <t>FIT FÓRMULA</t>
  </si>
  <si>
    <t>FIT FÓRMULA CACHORRO</t>
  </si>
  <si>
    <t>FIT FÓRMULA ADULTO</t>
  </si>
  <si>
    <t>FIT FÓRMULA ADULTO RAZA PEQUEÑA</t>
  </si>
  <si>
    <t>FIT FÓRMULA SENIOR</t>
  </si>
  <si>
    <t>FIT FÓRMULA SENIOR RAZA PEQUEÑA</t>
  </si>
  <si>
    <t>FIT LIGHT</t>
  </si>
  <si>
    <t>FIT FÓRMULA GATO</t>
  </si>
  <si>
    <t>2KG</t>
  </si>
  <si>
    <t>FREE GO</t>
  </si>
  <si>
    <t>FREE GO ADULTO Y CACHORRO</t>
  </si>
  <si>
    <t>OPTIMUS</t>
  </si>
  <si>
    <t>ODWALLA</t>
  </si>
  <si>
    <t>ODWALLA ADULTO</t>
  </si>
  <si>
    <t>ODWALLA CACHORRO</t>
  </si>
  <si>
    <t>PEDIGREE</t>
  </si>
  <si>
    <t>SENIOR</t>
  </si>
  <si>
    <t>RAZAS PEQUEÑAS</t>
  </si>
  <si>
    <t>BOKATO</t>
  </si>
  <si>
    <t>ADULTO TRADICIONAL</t>
  </si>
  <si>
    <t>CACHORRO BOKATO</t>
  </si>
  <si>
    <t>GOLD</t>
  </si>
  <si>
    <t>PETTIT</t>
  </si>
  <si>
    <t>LADY</t>
  </si>
  <si>
    <t>VELOZ</t>
  </si>
  <si>
    <t>WHISKAS</t>
  </si>
  <si>
    <t>JOSI</t>
  </si>
  <si>
    <t>JOSICAT CRUNCHY ADULTO</t>
  </si>
  <si>
    <t>JOSICAT KITTEN</t>
  </si>
  <si>
    <t>1,9KG</t>
  </si>
  <si>
    <t xml:space="preserve">JOSICAT CRISPY DUCK </t>
  </si>
  <si>
    <t>JOSICAT CRISPY DUCK</t>
  </si>
  <si>
    <t>JOSICAT ESTERILIZADO CLASSIC</t>
  </si>
  <si>
    <t>JOSIDOG JUNIOR CACHORRO</t>
  </si>
  <si>
    <t>JOSIDOG REGULAR ADULTO</t>
  </si>
  <si>
    <t>JOSIDOG FAMILY ADULTO/CACHORRO</t>
  </si>
  <si>
    <t>JOSIDOG ACTIVE ADULTO</t>
  </si>
  <si>
    <t>JOSIDOG SOLIDO SENIOR</t>
  </si>
  <si>
    <t>KONGO GOLD</t>
  </si>
  <si>
    <t>KONGO ADULTO GOLD</t>
  </si>
  <si>
    <t>KONGO CACHORRO GOLD</t>
  </si>
  <si>
    <t>CAT CHOW ADULTO PESCADO</t>
  </si>
  <si>
    <t>24KG</t>
  </si>
  <si>
    <t>19,5kg</t>
  </si>
  <si>
    <t>CAT CHOW ADULTO CARNE</t>
  </si>
  <si>
    <t>CAT CHOW GATITO</t>
  </si>
  <si>
    <t>CAT CHOW ADULTO DELI MIX</t>
  </si>
  <si>
    <t>CAT CHOW ESTERILIZADOS</t>
  </si>
  <si>
    <t>19,5KG</t>
  </si>
  <si>
    <t>EXCELLENT GATO ADULTO</t>
  </si>
  <si>
    <t xml:space="preserve">7,5 KG </t>
  </si>
  <si>
    <t xml:space="preserve">EXCELLENT GATO ESTERILIZADO </t>
  </si>
  <si>
    <t xml:space="preserve">EXCELLENT GATO URINARY </t>
  </si>
  <si>
    <t>GATI PESCADO</t>
  </si>
  <si>
    <t>GATI PESCADO ARROZ</t>
  </si>
  <si>
    <t>GATI CARNE</t>
  </si>
  <si>
    <t>DOG CHOW CACHORRO RAZA MEDIANA Y GRANDE</t>
  </si>
  <si>
    <t xml:space="preserve">DOG CHOW CACHORRO RAZA MEDIANA Y GRANDE </t>
  </si>
  <si>
    <t xml:space="preserve">19,5 KG </t>
  </si>
  <si>
    <t>DOG CHOW ADULTO RAZA MEDIANA Y GRANDE</t>
  </si>
  <si>
    <t>DOG CHOW CACHORRO RAZA PEQUEÑA</t>
  </si>
  <si>
    <t>DOG CHOW ADULTO RAZA PEQUEÑA</t>
  </si>
  <si>
    <t xml:space="preserve">DOG CHOW ADULTO RAZA PEQUEÑA </t>
  </si>
  <si>
    <t>DOG CHOW SENIOR +7</t>
  </si>
  <si>
    <t>DOG CHOW CONTROL PESO</t>
  </si>
  <si>
    <t>EXCELLENT CACHORRO</t>
  </si>
  <si>
    <t>12KG</t>
  </si>
  <si>
    <t>EXCELLENT ADULTO CARNE</t>
  </si>
  <si>
    <t>EXCELLENT ADULTO SALMÓN</t>
  </si>
  <si>
    <t>EXCELLENT MANTENCIÓN</t>
  </si>
  <si>
    <t>DOKO CACHORRO</t>
  </si>
  <si>
    <t>DOKO ADULTO</t>
  </si>
  <si>
    <t>2,5KG</t>
  </si>
  <si>
    <t>10,1KG</t>
  </si>
  <si>
    <t>7,5KG</t>
  </si>
  <si>
    <t>MARCA</t>
  </si>
  <si>
    <t>FORMATO</t>
  </si>
  <si>
    <t>PRECIO</t>
  </si>
  <si>
    <t>JOSERA</t>
  </si>
  <si>
    <t>JOSERA KITTEN GATITO</t>
  </si>
  <si>
    <t>JOSERA DAILYCAT ADULTO</t>
  </si>
  <si>
    <t>JOSERA MARINESSE ADULTO</t>
  </si>
  <si>
    <t>JOSERA NATURECAT GATITO/ADULTO</t>
  </si>
  <si>
    <t>JOSERA NATURELLE ADULTO</t>
  </si>
  <si>
    <t>JOSERA CULINESSE ADULTO</t>
  </si>
  <si>
    <t>JOSERA KIDS CACHORRO MEDIANA/GRANDE</t>
  </si>
  <si>
    <t>12,5KG</t>
  </si>
  <si>
    <t>JOSERA FESTIVAL ADULTO MEDIANA/GRANDE</t>
  </si>
  <si>
    <t>JOSERA FIESTA PLUS</t>
  </si>
  <si>
    <t>JOSERA BALANCE SENIOR MEDIANA/GRANDE</t>
  </si>
  <si>
    <t>12,5KG..</t>
  </si>
  <si>
    <t>JOSERA MINIJUNIOR 5 x 900 G</t>
  </si>
  <si>
    <t>4,5KG</t>
  </si>
  <si>
    <t>JOSERA MINIWELL 5 X 900 G</t>
  </si>
  <si>
    <t>JOSERA MINIWELL ADULTO PEQUEÑA</t>
  </si>
  <si>
    <t>JOSERA MINISENIOR 5 x 900 G</t>
  </si>
  <si>
    <t>JOSERA YOUNG STAR CACHORRO S/CEREALES</t>
  </si>
  <si>
    <t>JOSERA ENTE&amp;KARTOFFEL MONOPROTEICO S/CEREALES PATO</t>
  </si>
  <si>
    <t>JOSERA LACHS&amp;KARTOFFEL MONOPROTEICO S/CEREAL SALMÓN</t>
  </si>
  <si>
    <t>JOSERA NATURE ENERGETIC S/CEREALES</t>
  </si>
  <si>
    <t>JOSERA LIGHT &amp; VITAL</t>
  </si>
  <si>
    <t>JOSERA SENSIPLUS</t>
  </si>
  <si>
    <t>JOSERA HIGH ENERGY</t>
  </si>
  <si>
    <t>MAGNIFICO</t>
  </si>
  <si>
    <t>MAGNIFICO PERRO</t>
  </si>
  <si>
    <t>Top Nutrition Perros Cachorros Small Breed</t>
  </si>
  <si>
    <t>Bulto 8 x 1Kg</t>
  </si>
  <si>
    <t>Bulto 4 x 3kg</t>
  </si>
  <si>
    <t>7,5 kg</t>
  </si>
  <si>
    <t>Top Nutrition Perros Adultos Small Breed</t>
  </si>
  <si>
    <t>Top Nutrition Perros Cachorros Medium Breed</t>
  </si>
  <si>
    <t>15 kg</t>
  </si>
  <si>
    <t>Top Nutrition Perros Adultos Medium Breed</t>
  </si>
  <si>
    <t>Top Nutrition Perros Cachorros Large Breed</t>
  </si>
  <si>
    <t>Top Nutrition Perros Adultos Large Breed</t>
  </si>
  <si>
    <t>25 kg</t>
  </si>
  <si>
    <t>Top Nutrition Perros Senior Raza pequeña</t>
  </si>
  <si>
    <t>7.5 kg</t>
  </si>
  <si>
    <t>Top Nutrition Perros Senior Raza med y grande</t>
  </si>
  <si>
    <t>Top Nutrition Kitten</t>
  </si>
  <si>
    <t>Bulto 6 x 2kg</t>
  </si>
  <si>
    <t>Top Nutrition Adultos Cat</t>
  </si>
  <si>
    <t>Top Nutrition Gato Senior</t>
  </si>
  <si>
    <t xml:space="preserve"> PERRO RAZA PEQUEÑA</t>
  </si>
  <si>
    <t xml:space="preserve"> PERRO RAZA MEDIANA</t>
  </si>
  <si>
    <t xml:space="preserve"> PERRO RAZA GRANDE</t>
  </si>
  <si>
    <t>PERRO RAZA SENIOR</t>
  </si>
  <si>
    <t>GATO SENIOR</t>
  </si>
  <si>
    <t>TOP NUTRITION</t>
  </si>
  <si>
    <t>INDICE</t>
  </si>
  <si>
    <t>MASCOTA</t>
  </si>
  <si>
    <t>CATEGORIA</t>
  </si>
  <si>
    <t>P.NORMAL</t>
  </si>
  <si>
    <t>P.ESPECIAL  X100</t>
  </si>
  <si>
    <t>P. ESPECIAL X CAMION</t>
  </si>
  <si>
    <t>COMPINCHE</t>
  </si>
  <si>
    <t>CACHUPIN</t>
  </si>
  <si>
    <t>GUAU FORTE</t>
  </si>
  <si>
    <t>COOL DOG</t>
  </si>
  <si>
    <t>DOKO</t>
  </si>
  <si>
    <t>EXCELLENT</t>
  </si>
  <si>
    <t>GATI</t>
  </si>
  <si>
    <t xml:space="preserve">MASKO </t>
  </si>
  <si>
    <t>8.- NB</t>
  </si>
  <si>
    <t>7.- ALCA</t>
  </si>
  <si>
    <t>6.- GORCHEN</t>
  </si>
  <si>
    <t>5.- CAUPOLICAN</t>
  </si>
  <si>
    <t>4.- PROA</t>
  </si>
  <si>
    <t>3.- CAROZZI</t>
  </si>
  <si>
    <t>1.- GEPSA</t>
  </si>
  <si>
    <t>2.- TRESKO</t>
  </si>
  <si>
    <t xml:space="preserve">JOSERA </t>
  </si>
  <si>
    <t>9.- COOPRINSEN</t>
  </si>
  <si>
    <t>10.- PURINA</t>
  </si>
  <si>
    <t>CAT CHOW</t>
  </si>
  <si>
    <t>DOG CHOW</t>
  </si>
  <si>
    <t xml:space="preserve">EXCELLENT </t>
  </si>
  <si>
    <t>11.- DRAG PHARMA</t>
  </si>
  <si>
    <t>FIT</t>
  </si>
  <si>
    <t>13.- ALLENDES</t>
  </si>
  <si>
    <t>14.- FREE GO</t>
  </si>
  <si>
    <t xml:space="preserve">FREE GO </t>
  </si>
  <si>
    <t>COOL DOG NUEVO</t>
  </si>
  <si>
    <t>AROMA</t>
  </si>
  <si>
    <t>STAY HAPPY</t>
  </si>
  <si>
    <t xml:space="preserve"> CAFÉ </t>
  </si>
  <si>
    <t xml:space="preserve"> LAVANDA </t>
  </si>
  <si>
    <t xml:space="preserve"> VARIEDADES </t>
  </si>
  <si>
    <t>HAPPY</t>
  </si>
  <si>
    <t xml:space="preserve"> CARBÓN </t>
  </si>
  <si>
    <t>EASY CLEAN</t>
  </si>
  <si>
    <t>CHILEAN</t>
  </si>
  <si>
    <t>LAVANDA</t>
  </si>
  <si>
    <t>TOI MOI</t>
  </si>
  <si>
    <t xml:space="preserve"> BEBE </t>
  </si>
  <si>
    <t>FELICITY</t>
  </si>
  <si>
    <t>SIN AROMA</t>
  </si>
  <si>
    <t>MAXI CAT</t>
  </si>
  <si>
    <t xml:space="preserve">  LAVANDA </t>
  </si>
  <si>
    <t xml:space="preserve"> MOCCA </t>
  </si>
  <si>
    <t>CATMANIA</t>
  </si>
  <si>
    <t xml:space="preserve"> LAVANDA  </t>
  </si>
  <si>
    <t>ANTIPARASITARIOS PET</t>
  </si>
  <si>
    <t>NEXGARD CAJA DE 3 UNID. 2-4KG</t>
  </si>
  <si>
    <t xml:space="preserve">NEXGARD CAJA DE 3 UNID. 4-10KG </t>
  </si>
  <si>
    <t xml:space="preserve">NEXGARD CAJA DE 3 UNID. 10-25KG </t>
  </si>
  <si>
    <t xml:space="preserve">NEXGARD CAJA DE 3 UNID. 25-50KG </t>
  </si>
  <si>
    <t xml:space="preserve">FRONTLINE PLUS GATOS 0,5ML </t>
  </si>
  <si>
    <t>FRONTLINE SPRAY PERROS Y GATOS 250ML</t>
  </si>
  <si>
    <t xml:space="preserve">CREDELIO 56,25MG, 1 TABLETA DE 1,3KG A 2,5KG </t>
  </si>
  <si>
    <t xml:space="preserve">CREDELIO 225MG, 1 TABLETA DE 5,5KG A 11KG </t>
  </si>
  <si>
    <t xml:space="preserve">CREDELIO 450MG, 1 TABLETA DE 11KG A 22KG </t>
  </si>
  <si>
    <t xml:space="preserve">CREDELIO 900MG, 1 TABLETA DE 22KG A 45KG </t>
  </si>
  <si>
    <t xml:space="preserve">SIMPARICA FORMATO / 5-10KG 3UND </t>
  </si>
  <si>
    <t xml:space="preserve">SIMPARICA FORMATO / 10-20KG 3UND </t>
  </si>
  <si>
    <t>SIMPARICA FORMATO / 20-40KG 3UND</t>
  </si>
  <si>
    <t>SIMPARICA FORMATO / 40-60KG 3UND</t>
  </si>
  <si>
    <t>REVOLUTION PLUS 0,25 / 1,25KG A 2,5KG</t>
  </si>
  <si>
    <t xml:space="preserve">REVOLUTION PLUS 0,5 / 2,5KG A 5KG </t>
  </si>
  <si>
    <t xml:space="preserve">NEXGARD COMBO GATO 2,5KG A 7,5KG </t>
  </si>
  <si>
    <t>PRODUTO</t>
  </si>
  <si>
    <t>RAHUE</t>
  </si>
  <si>
    <t xml:space="preserve">FÉMUR VACUNO GIGANTE </t>
  </si>
  <si>
    <t>UNIDAD</t>
  </si>
  <si>
    <t>MEDIO FÉMUR VACUNO</t>
  </si>
  <si>
    <t>FÉMUR CERDO</t>
  </si>
  <si>
    <t>BULLY STICK VACUNO 12"</t>
  </si>
  <si>
    <t>BULLY STICK VACUNO 6"</t>
  </si>
  <si>
    <t>BULLY STICK 4 A 5"</t>
  </si>
  <si>
    <t>TRÁQUEA VACUNO 12"</t>
  </si>
  <si>
    <t>TRÁQUEA VACUNO 6"</t>
  </si>
  <si>
    <t>PULMÓN CORDERO PATAGONICO 50GR</t>
  </si>
  <si>
    <t>JERKY VACUNO STICK POTE 250GR</t>
  </si>
  <si>
    <t>JERKY POLLO STICK POTE 250GR</t>
  </si>
  <si>
    <t>JERKY CORDERO STICK POTE 250GR</t>
  </si>
  <si>
    <t>SNACK MIX APERITIVO 500JG</t>
  </si>
  <si>
    <t>SNACK MIX APERITIVO 300GR</t>
  </si>
  <si>
    <t>GARRA DE POLLO 65GR</t>
  </si>
  <si>
    <t>CAJA SACHETS VARIEDADES 20 X 100GR</t>
  </si>
  <si>
    <t>FELIX</t>
  </si>
  <si>
    <t xml:space="preserve">MALETA LATA FELIX VARIEDADES 24 X 156GR </t>
  </si>
  <si>
    <t>DOGUITO</t>
  </si>
  <si>
    <t>CAJA DOGUITO 15 X 65GR</t>
  </si>
  <si>
    <t>CHURU</t>
  </si>
  <si>
    <t>CHURU GATO VARIEDADES 1 X 4UNID.</t>
  </si>
  <si>
    <t>CHURU ROLLS PERRO 1 X 8UNID.</t>
  </si>
  <si>
    <t>MARBEN</t>
  </si>
  <si>
    <t>CAT SNACK VARIEDADES GALLETAS CON CATNIP 80GR</t>
  </si>
  <si>
    <t>CAT SNACK VARIEDADES GALLETAS RELLENAS 80GR</t>
  </si>
  <si>
    <t>CAT SNACK CREMOSO 1 X 4UNID.</t>
  </si>
  <si>
    <t>DENTALIGHT</t>
  </si>
  <si>
    <t>OMEGA+ CRUNCHY 60GR VARIEDADES</t>
  </si>
  <si>
    <t>CAJA CREAMY CAT MIX SABORES 48UNID.</t>
  </si>
  <si>
    <t>LATA PATE CHAMPION CACHORRO VARIEDADES 315GR</t>
  </si>
  <si>
    <t>MIAU SNACK CUIDADO DENTAL 60GR</t>
  </si>
  <si>
    <t>17.- ARENAS</t>
  </si>
  <si>
    <t>ARENAS</t>
  </si>
  <si>
    <t>18.- ANTIPARASITARIOS</t>
  </si>
  <si>
    <t>ANTIPARASITARIOS</t>
  </si>
  <si>
    <t>19.- SNACKS</t>
  </si>
  <si>
    <t>SNACKS</t>
  </si>
  <si>
    <t>PIONERO</t>
  </si>
  <si>
    <t>PERRO ADULTO 18KG</t>
  </si>
  <si>
    <t>AMITY</t>
  </si>
  <si>
    <t>Amity Sp Low Grain Iberian Pork Adult 4 Kg</t>
  </si>
  <si>
    <t>4KG</t>
  </si>
  <si>
    <t>Amity Sp Low Grain Iberian Pork Adult 14 Kg</t>
  </si>
  <si>
    <t>14KG</t>
  </si>
  <si>
    <t>Amity Sp Low Grain Salmon Adult 4 Kg</t>
  </si>
  <si>
    <t>Amity Sp Low Grain Salmon Adult 14 Kg</t>
  </si>
  <si>
    <t>Amity Sp Low Grain Chicken Adult 4 Kg</t>
  </si>
  <si>
    <t>Amity Sp Low Grain Chicken Adult 14 Kg</t>
  </si>
  <si>
    <t>Amity Sp Low Grain Salmon Adult Cat 2 Kg</t>
  </si>
  <si>
    <t>Amity Sp Low Grain Salmon Cat Sterilized 7 Kg</t>
  </si>
  <si>
    <t>7KG</t>
  </si>
  <si>
    <t>Amity Sp Low Grain Salmon Adult Cat 7 Kg</t>
  </si>
  <si>
    <t>Amity Sp Low Grain Salmon Cat Sterilized 2 Kg</t>
  </si>
  <si>
    <t>BRAVERY</t>
  </si>
  <si>
    <t>Bravery Herring Senior Small Breeds 2 Kg.</t>
  </si>
  <si>
    <t>Bravery Salmón Mini Adult Small Breeds 7 Kg</t>
  </si>
  <si>
    <t>Bravery Chicken Adult Large/Medium Breeds 4 Kg</t>
  </si>
  <si>
    <t>Bravery Iberian Pork Adult Large/Medium Breeds 12 Kg</t>
  </si>
  <si>
    <t>Bravery Salmón Mini Puppy Small Breeds 7 Kg</t>
  </si>
  <si>
    <t>Bravery Chicken Mini Puppy Small Breeds 7 Kg</t>
  </si>
  <si>
    <t>Bravery Herring Adult Large/Medium Breeds 12 Kg</t>
  </si>
  <si>
    <t>Bravery Salmón Adult Large/Medium Breeds 12 Kg</t>
  </si>
  <si>
    <t>Bravery Lamb Adult Large/Medium Breeds 12 Kg</t>
  </si>
  <si>
    <t>Bravery Salmón Mini Adult Small Breeds 2 Kg</t>
  </si>
  <si>
    <t>Bravery Lamb Mini Adult Small Breeds 7 Kg</t>
  </si>
  <si>
    <t>Bravery Salmón Adult Cat Sterilized 7 Kg.</t>
  </si>
  <si>
    <t>Bravery Chicken Adult Cat Sterilized 2 Kg.</t>
  </si>
  <si>
    <t>Bravery Salmón Adult Cat 7 Kg.</t>
  </si>
  <si>
    <t>Bravery Chicken Adult Cat 7 Kg.</t>
  </si>
  <si>
    <t>Bravery Chicken Adult Cat Sterilized 7 Kg</t>
  </si>
  <si>
    <t>ASTRO PERRO JUNIOR</t>
  </si>
  <si>
    <t>ASTRO PERRO VITALITY</t>
  </si>
  <si>
    <t>ASTRO PERRO SELECTION</t>
  </si>
  <si>
    <t>ASTRO PERRO SMALL BREEDS</t>
  </si>
  <si>
    <t>ASTRO PERRO SENIOR</t>
  </si>
  <si>
    <t>ASTRO CAT GOURMET</t>
  </si>
  <si>
    <t>ASTRO</t>
  </si>
  <si>
    <t>FROST</t>
  </si>
  <si>
    <t>FROST ADULTO, MEDIANO Y GRANDE</t>
  </si>
  <si>
    <t>FROST ADULTO, LIGHT TODAS LAS RAZAS</t>
  </si>
  <si>
    <t>FROST ADULTO, MINIS Y PEQUEÑOS</t>
  </si>
  <si>
    <t>FROST TECNICO, TODAS LAS RAZAS</t>
  </si>
  <si>
    <t>FROST SENIOR, MEDIANO Y GRANDE</t>
  </si>
  <si>
    <t>NUTRIQUE GATO BABY CAT &amp; KITTEN 2 KG $ 12.825</t>
  </si>
  <si>
    <t>NUTRIQUE GATO BABY CAT &amp; KITTEN 7.5 KG $ 43.891</t>
  </si>
  <si>
    <t>NUTRIQUE GATO HEALTHY MAINTENANCE 7+ 2 KG $ 12.734</t>
  </si>
  <si>
    <t>NUTRIQUE GATO HEALTHY MAINTENANCE 7+ 7.5 KG $ 38.759</t>
  </si>
  <si>
    <t>NUTRIQUE GATO URINARY CARE - CAT 2 KG $ 12.825</t>
  </si>
  <si>
    <t>NUTRIQUE GATO URINARY CARE - CAT 7.5 KG $ 38.759</t>
  </si>
  <si>
    <t>NUTRIQUE GATO YOUNG ADULT CAT - HEALTHY MAINTENANCE 2 KG $ 12.825</t>
  </si>
  <si>
    <t>NUTRIQUE GATO YOUNG ADULT CAT - HEALTHY MAINTENANCE 7.5 KG $ 37.905</t>
  </si>
  <si>
    <t>NUTRIQUE GATO YOUNG ADULT CAT - STERILISED/HEALTHY WEIGHT 2 KG $ 12.825</t>
  </si>
  <si>
    <t>NUTRIQUE GATO YOUNG ADULT CAT - STERILISED/HEALTHY WEIGHT 7.5 KG $ 38.759</t>
  </si>
  <si>
    <t>NUTRIQUE PERRO HEALTHY WEIGHT 3 KG $ 13.681</t>
  </si>
  <si>
    <t>NUTRIQUE PERRO LARGE ADULT 6+ DOG 15 KG $ 51.585</t>
  </si>
  <si>
    <t>NUTRIQUE PERRO LARGE PUPPY 15 KG $ 53.580</t>
  </si>
  <si>
    <t>NUTRIQUE PERRO LARGE YOUNG ADULT DOG 3 KG $ 13.680</t>
  </si>
  <si>
    <t>NUTRIQUE PERRO LARGE YOUNG ADULT DOG 15 KG $ 50.160</t>
  </si>
  <si>
    <t>NUTRIQUE PERRO MEDIUM ADULT 7+ 3 KG $ 15.390</t>
  </si>
  <si>
    <t>NUTRIQUE PERRO MEDIUM ADULT 7+ DOG 12 KG $ 43.320</t>
  </si>
  <si>
    <t>NUTRIQUE PERRO MEDIUM PUPPY 12 KG $ 42.751</t>
  </si>
  <si>
    <t>NUTRIQUE PERRO MEDIUM PUPPY 3 KG $ 14.536</t>
  </si>
  <si>
    <t>NUTRIQUE PERRO MEDIUM YOUNG ADULT DOG 12 KG $ 40.471</t>
  </si>
  <si>
    <t>NUTRIQUE PERRO MEDIUM YOUNG ADULT DOG 3 KG $ 13.681</t>
  </si>
  <si>
    <t>NUTRIQUE PERRO SKIN SENSITIVITY 15 KG $ 53.864</t>
  </si>
  <si>
    <t>NUTRIQUE PERRO SKIN SENSITIVITY 3 KG $ 16.815</t>
  </si>
  <si>
    <t>NUTRIQUE PERRO TOY &amp; MINI ADULT 7 + DOG 3KG $ 15.390</t>
  </si>
  <si>
    <t>NUTRIQUE PERRO TOY &amp; MINI PUPPY 3 KG $ 14.536</t>
  </si>
  <si>
    <t xml:space="preserve">NUTRIQUE PERRO TOY &amp; MINI YOUNG ADULT DOG 3 KG </t>
  </si>
  <si>
    <t>NUTRIQUE PERRO TOY &amp; MINI YOUNG ADULT DOG 7.5 KG $ 30.209</t>
  </si>
  <si>
    <t>Bravery Chicken Adult Large/Medium Breeds 12 Kg.</t>
  </si>
  <si>
    <t>Bravery Salmón Adult Sterilized Cat 2 Kg.</t>
  </si>
  <si>
    <t>VARIEDAD</t>
  </si>
  <si>
    <t>20.- HRAZ</t>
  </si>
  <si>
    <t>TOP ONE</t>
  </si>
  <si>
    <t>RAZA PEQUEÑA</t>
  </si>
  <si>
    <t xml:space="preserve">LE ROY </t>
  </si>
  <si>
    <t xml:space="preserve">GATO </t>
  </si>
  <si>
    <t xml:space="preserve">LE ROY PREMIUN, ADULTO ESTERILIZADO </t>
  </si>
  <si>
    <t>15kG</t>
  </si>
  <si>
    <t xml:space="preserve">FROST CACHORRO MEDIANO Y GRANDE </t>
  </si>
  <si>
    <t>PROMOCIÓN</t>
  </si>
  <si>
    <t>SUPERPET ADULTO</t>
  </si>
  <si>
    <t>SUPERPET CACHORRO</t>
  </si>
  <si>
    <t>SUPERPET</t>
  </si>
  <si>
    <t>CAJA SACHETS VARIEDADES 24 X 85GR</t>
  </si>
  <si>
    <t xml:space="preserve">FELIX </t>
  </si>
  <si>
    <t xml:space="preserve">GATITO </t>
  </si>
  <si>
    <t>CAJA SACHETS VARIEDADES 15X85GR</t>
  </si>
  <si>
    <t>$17.500 sobre 100</t>
  </si>
  <si>
    <t xml:space="preserve">SABROKAN </t>
  </si>
  <si>
    <t>CHAMPION CACHORRO</t>
  </si>
  <si>
    <t>PIPETA GATO FIPRODRAG</t>
  </si>
  <si>
    <t>PIPETA PERRO HASTA 10KG FIPRODRAG</t>
  </si>
  <si>
    <t>PIPETA PERRO 10KG A 20KG FIPRODRAG</t>
  </si>
  <si>
    <t>PIPETA PERRO 20KG A 40KG FIPRODRAG</t>
  </si>
  <si>
    <t>PIPETA PERRO 40KG A 60KG FIPRODRAG</t>
  </si>
  <si>
    <t>EXCELLENT KITTEN</t>
  </si>
  <si>
    <t>16,5kg</t>
  </si>
  <si>
    <t>FLOVOVERMIC  CAJA 60UNIDADES</t>
  </si>
  <si>
    <t>FLOVOVERMIC  C/U 10KG</t>
  </si>
  <si>
    <t>FIT SNACK PERRO CALUGA 65GR</t>
  </si>
  <si>
    <t>FIT SNACK GATO PESCADITOS 65GR</t>
  </si>
  <si>
    <t>FIT GALLETA GATO CANGREJO 100GR</t>
  </si>
  <si>
    <t>FIT GALLETA GATO SALMON 100GR</t>
  </si>
  <si>
    <t>FIT SNACK PURE DE POLLO</t>
  </si>
  <si>
    <t>FLOVOVERMIC  C/U 30KG</t>
  </si>
  <si>
    <t>FIT SNACK PERRO MIX 65GR</t>
  </si>
  <si>
    <t>9LIVE GATITO</t>
  </si>
  <si>
    <t>TRIGONO CACHORRO</t>
  </si>
  <si>
    <t>WHISKAS GATITO</t>
  </si>
  <si>
    <t>PEDIGREE CACHORRO</t>
  </si>
  <si>
    <t>teresa castro</t>
  </si>
  <si>
    <t>NEXGARD CAJA DE 1 UNID. 2-4KG</t>
  </si>
  <si>
    <t xml:space="preserve">NEXGARD CAJA DE 1 UNID. 4-10KG </t>
  </si>
  <si>
    <t xml:space="preserve">NEXGARD CAJA DE 1 UNID. 10-25KG </t>
  </si>
  <si>
    <t xml:space="preserve">NEXGARD CAJA DE 1 UNID. 25-50KG </t>
  </si>
  <si>
    <t>6 X 22.500.-</t>
  </si>
  <si>
    <t>GALLINA</t>
  </si>
  <si>
    <t>POLLITO</t>
  </si>
  <si>
    <t>PONEDORA INICIAL</t>
  </si>
  <si>
    <t>PONEDORA FINAL</t>
  </si>
  <si>
    <t>BROILER INICIAL</t>
  </si>
  <si>
    <t>BROILER FINAL</t>
  </si>
  <si>
    <t xml:space="preserve"> </t>
  </si>
  <si>
    <t>ADULTO VORAZ</t>
  </si>
  <si>
    <t>GALLETA 10KG CAJA</t>
  </si>
  <si>
    <t>CAJA</t>
  </si>
  <si>
    <t xml:space="preserve">21KG </t>
  </si>
  <si>
    <t>P.ESPECIAL  X ??</t>
  </si>
  <si>
    <t>GATO ADULTO ESTERILIZADO</t>
  </si>
  <si>
    <t>GATO SENIOR ESTERILIZADO</t>
  </si>
  <si>
    <t>SENSITIVE SKIN MINI SMALL</t>
  </si>
  <si>
    <t>PUPPY MINI SMALL</t>
  </si>
  <si>
    <t>SENIOR MINI SMALL</t>
  </si>
  <si>
    <t>ZIMPI</t>
  </si>
  <si>
    <t>ZIMPI PERRO ADULTO</t>
  </si>
  <si>
    <t>PRECIO LOCAL</t>
  </si>
  <si>
    <t>P COMPRA</t>
  </si>
  <si>
    <t>P VENTA LOCAL</t>
  </si>
  <si>
    <t>JOSERA CHICKEN &amp; SWEET POTATO</t>
  </si>
  <si>
    <t>CAMPAÑA</t>
  </si>
  <si>
    <t>P.VENTA LOCAL</t>
  </si>
  <si>
    <t>P. VENTA LOCAL</t>
  </si>
  <si>
    <t>PRECIO FUERA DE TALCA</t>
  </si>
  <si>
    <t>MICHI LOVE</t>
  </si>
  <si>
    <t>FIT LIGHT RAZA PEQUEÑA</t>
  </si>
  <si>
    <t xml:space="preserve">FIT </t>
  </si>
  <si>
    <t>FIT BROCHETA 3 SABORES 100GR</t>
  </si>
  <si>
    <t>FIT BROCHETA 3 SABORES 400GR</t>
  </si>
  <si>
    <t>FIT GALLETA POLLO 100GR</t>
  </si>
  <si>
    <t>FIT GALLETA POLLO 400GR</t>
  </si>
  <si>
    <t>FIT HUESITO CON POLLO 100GR</t>
  </si>
  <si>
    <t>FIT HUESITO CON POLLO 400GR</t>
  </si>
  <si>
    <t>FIT SNACK CAMOTE Y CORDERO 100GR</t>
  </si>
  <si>
    <t>SKINDRAG CALENDULA SHAMPOO 250ML</t>
  </si>
  <si>
    <t>SKINDRAG MATICO SHAMPOO 250ML</t>
  </si>
  <si>
    <t>SKINDRAG AVENA SHAMPOO 250ML</t>
  </si>
  <si>
    <t>SKINDRAG GREEN TEA SHAMPOO 250ML</t>
  </si>
  <si>
    <t>SKINDRAG CERAMIDA SHAMPOO 250ML</t>
  </si>
  <si>
    <t>COLONIA ANIMAL HEALTH CACHORRO</t>
  </si>
  <si>
    <t>COLONIA ANIMAL HEALTH HEMBRA</t>
  </si>
  <si>
    <t>COLONIA ANIMAL HEALTH MACHO</t>
  </si>
  <si>
    <t>CANISH BALSAMICO SHAMPOO 390ML</t>
  </si>
  <si>
    <t>CANISH ESPUMA SHAMPOO SECO 160ML</t>
  </si>
  <si>
    <t>CANISH  EXTRA BRILLO SHAMPOO 390ML</t>
  </si>
  <si>
    <t>CANISH EXTRACTO DE HIERBAS SHAMPOO 390ML</t>
  </si>
  <si>
    <t>CANISH HIPOALERGENICO SHAMPOO 390ML</t>
  </si>
  <si>
    <t>FIT SNACK CONEJO 100GR</t>
  </si>
  <si>
    <t>FIT SNACK COSTILLITAS DE CORDERO 100GR</t>
  </si>
  <si>
    <t>FIT SNACK ESPIRAL DE SALMON 100KG</t>
  </si>
  <si>
    <t>FIT SNACK SALCHICHA DE PATO 100GR</t>
  </si>
  <si>
    <t>FIT SNACK TIRITA DE POLLO DESHIDRATADO 100GR</t>
  </si>
  <si>
    <t>FIT SNACK TRUTRO POLLO DESHIDRATADO 100GR</t>
  </si>
  <si>
    <t xml:space="preserve">FIT SNACK PURE DE ATUN </t>
  </si>
  <si>
    <t>FIT SNACK PURE DE SALMON</t>
  </si>
  <si>
    <t>FIT DUO ATUN-POLLO-OSTION 35GR X 2</t>
  </si>
  <si>
    <t>FIT LATA GOURMET GATOS CANGREJO PALITOS</t>
  </si>
  <si>
    <t>FIT LATA GOURMET GATOS VEGETALES</t>
  </si>
  <si>
    <t>FIT DUO ATUN-POLLO-SALMON 35GR X2</t>
  </si>
  <si>
    <t xml:space="preserve">FIT LATA GATO POLLO </t>
  </si>
  <si>
    <t>FIT LATA GATO PESCADO</t>
  </si>
  <si>
    <t>FIT LATA PERRO CARNE</t>
  </si>
  <si>
    <t>FIT LATA PERRO POLLO</t>
  </si>
  <si>
    <t>FIT LATA CACHORRO POLLO</t>
  </si>
  <si>
    <t>FIT LATA GOURMET GATOS CAMARON</t>
  </si>
  <si>
    <t xml:space="preserve">FIPROKILL SOLUCION SPRAY 50KG </t>
  </si>
  <si>
    <t>FIPROKILL SOLUCION SPRAY 250ML</t>
  </si>
  <si>
    <t xml:space="preserve">FIPROKILL SOLUCION SPRAY 100KG </t>
  </si>
  <si>
    <t>CREAMY CAT PROTEICO 4 X 14GR</t>
  </si>
  <si>
    <t>FIT LATA GOURMET GATOS CONEJO</t>
  </si>
  <si>
    <t>BIOFRESH SP NATURAL GATITOS HIGADO DE POLLO, MANZANA, TE VERDE Y ARANDANO 1,5KG</t>
  </si>
  <si>
    <t>BIOFRESH SP NATURAL GATOS ADULTOS POLLO 1,5KG</t>
  </si>
  <si>
    <t>BIOFRESH SP NATURAL GATOS ADULTOS POLLO 7,5KG</t>
  </si>
  <si>
    <t>BIOFRESH  SP GATOS CASTRADOS SALMON 1,5KG</t>
  </si>
  <si>
    <t>BIOFRESH  SP GATOS CASTRADOS SALMON 7,5KG</t>
  </si>
  <si>
    <t>BIOFRESH SP NATURAL GATO SENIOR 1,5KG</t>
  </si>
  <si>
    <t>BIOFRESH SP PERROS CACH RAZA PEQUEÑA 3KG</t>
  </si>
  <si>
    <t>BIOFRESH SP PERROS CACH RAZA PEQUEÑA 10,1KG</t>
  </si>
  <si>
    <t>BIOFRESH SP PERROS CACH RAZA MEDIANA 3KG</t>
  </si>
  <si>
    <t>BIOFRESH PERRO ADULTO RAZA PEQUEÑA CARNE CERDO Y PIÑA 3KG</t>
  </si>
  <si>
    <t>BIOFRESH SP PERROS SENIOR RAZA PEQUEÑA 3KG</t>
  </si>
  <si>
    <t>BIOFRESH SP PERROS SENIOR RAZA MEDIANA 3KG</t>
  </si>
  <si>
    <t>BIOFRESH SP PERRO ADULTO LIGHT RAZA PEQUEÑA 3KG</t>
  </si>
  <si>
    <t>GEROLAMO ALIMENTO GATO CASTRADO 2,7KG</t>
  </si>
  <si>
    <t>GEROLAMO ALIMENTO GATO SENIOR 2,7KG</t>
  </si>
  <si>
    <t>GEROLAMO SALVATORE LOLICAT POLLO &amp; ARANDANO 15UNID</t>
  </si>
  <si>
    <t>GEROLAMO PATE ADULTO GATO RENAL CARDIACO</t>
  </si>
  <si>
    <t>GEROLAMO PATE ADULTO GATO URINARIO HEPTI</t>
  </si>
  <si>
    <t>GEROLAMO PATE ADULTO PERRO RENAL CARDIACO</t>
  </si>
  <si>
    <t>GEROLAMO PATE ADULTO PERRO GI LOW FAT</t>
  </si>
  <si>
    <t>2,7KG</t>
  </si>
  <si>
    <t>15UNID</t>
  </si>
  <si>
    <t>PRECIO C/IVA</t>
  </si>
  <si>
    <t>BIOFRESH</t>
  </si>
  <si>
    <t>GEROLAMO</t>
  </si>
  <si>
    <t>BIOFRESH GATO SABOR SALMON, MANZANA, TE VERDE Y ARANDANO 1,5KG</t>
  </si>
  <si>
    <t>PRECIO PET</t>
  </si>
  <si>
    <t xml:space="preserve">DOG CHOW CACHORRO RAZA PEQUEÑA </t>
  </si>
  <si>
    <t xml:space="preserve">FIT SACHETS </t>
  </si>
  <si>
    <t>BIOFRESH SP PERROS ADULTOS PEQUEÑO 3KG</t>
  </si>
  <si>
    <t>BIOFRESH SP PERROS ADULTOS PEQUEÑO 10,1KG</t>
  </si>
  <si>
    <t xml:space="preserve">JOSERA MINIWELL </t>
  </si>
  <si>
    <t>8kg</t>
  </si>
  <si>
    <t>x 20 sacos</t>
  </si>
  <si>
    <t xml:space="preserve">EASY CLEAN </t>
  </si>
  <si>
    <t>TOFU VARIEDAD</t>
  </si>
  <si>
    <t>2K - 6LT</t>
  </si>
  <si>
    <t>LOCAL</t>
  </si>
  <si>
    <t>PET</t>
  </si>
  <si>
    <t>4 kongo ad</t>
  </si>
  <si>
    <t>4 Gana can</t>
  </si>
  <si>
    <t>5 Sabrokan</t>
  </si>
  <si>
    <t>1 Dog chow r/p</t>
  </si>
  <si>
    <t>2 Pedigree r/p</t>
  </si>
  <si>
    <t>nomade ga</t>
  </si>
  <si>
    <t>P.ESPECIAL  X10</t>
  </si>
  <si>
    <t>AMICI ADULTO MIX</t>
  </si>
  <si>
    <t>AMICI ADULTO CARNE</t>
  </si>
  <si>
    <t>AMICI CACHORRO</t>
  </si>
  <si>
    <t>$23.000.- X 10</t>
  </si>
  <si>
    <t>$22.500.- X 6</t>
  </si>
  <si>
    <t>SACHET CHAMPION PERRO 24</t>
  </si>
  <si>
    <t>SACHET CHAMPION GATO 24</t>
  </si>
  <si>
    <t>DOGUIVET SENIOR</t>
  </si>
  <si>
    <t>DOGUIVET CACHORRO</t>
  </si>
  <si>
    <t>DOGUIVET ADULTO</t>
  </si>
  <si>
    <t>HEPROTEC</t>
  </si>
  <si>
    <t>HERPLEX</t>
  </si>
  <si>
    <t>MAMISTOP PERRO 125GR</t>
  </si>
  <si>
    <t>MAMISTOP PERRO 250GR</t>
  </si>
  <si>
    <t>MAMISTOP GATO 100GR</t>
  </si>
  <si>
    <t>SUPERPET OMEGA PERRO</t>
  </si>
  <si>
    <t>SUPERPET OMEGA GAT</t>
  </si>
  <si>
    <t>SUPERPET OMEGA PUPPY</t>
  </si>
  <si>
    <t>SUPERPET OMEGA SENIOR</t>
  </si>
  <si>
    <t>ITEM</t>
  </si>
  <si>
    <t>x 5 a 32.500</t>
  </si>
  <si>
    <t xml:space="preserve">                                                     </t>
  </si>
  <si>
    <t xml:space="preserve">                     </t>
  </si>
  <si>
    <t>FELIX MEGAMIX GATITO</t>
  </si>
  <si>
    <t>FELIX MEGAMIX GATO ADULTO</t>
  </si>
  <si>
    <t>ALIMENTO</t>
  </si>
  <si>
    <t xml:space="preserve">yu7687u                                            </t>
  </si>
  <si>
    <t>ANTIPARASITARIOS PET (INTERNO)</t>
  </si>
  <si>
    <t>BEBE</t>
  </si>
  <si>
    <t>2 X $28.000.-</t>
  </si>
  <si>
    <t>JERKY POLLO 80GR</t>
  </si>
  <si>
    <t>JERKY CORDERO 80GR</t>
  </si>
  <si>
    <t>JERKY RAHUE 80GR</t>
  </si>
  <si>
    <t>RAMA FIBRA DE BAMBÚ 31CM</t>
  </si>
  <si>
    <t>$ PET</t>
  </si>
  <si>
    <t>$ LOCAL</t>
  </si>
  <si>
    <t>CUERNO FIBRA DE BAMBÚ 19,3CM</t>
  </si>
  <si>
    <t>HUESO L FIBRA DE BAMBU 16,4CM</t>
  </si>
  <si>
    <t>PACK 3 FORMAS FIBRA DE BAMBÚ 6CM Y 16CM</t>
  </si>
  <si>
    <t>PACK 2 FORMAS FIBRA DE BAMBÚ 15CM</t>
  </si>
  <si>
    <t>INFINITO CON PELOTA FIBRA DE BAMBÚ 36CM</t>
  </si>
  <si>
    <t>PACK 2 RAMAS HUESO ( Y ) FIBRA DE BAMBU 24CM Y 20,5CM</t>
  </si>
  <si>
    <t>JUGUETES</t>
  </si>
  <si>
    <t>Talca</t>
  </si>
  <si>
    <t>22.000 Fuera por 10</t>
  </si>
  <si>
    <t>ADVANTAGE GATO 0,4ML HASTA 4KG</t>
  </si>
  <si>
    <t>ADVANTAGE GATO 0,8ML HASTA 4KG - 8KG</t>
  </si>
  <si>
    <t>ADVOCATE GATO 0,4ML</t>
  </si>
  <si>
    <t>ADVOCATE GATO 0,8ML</t>
  </si>
  <si>
    <t>ADVOCATE PERRO 1ML</t>
  </si>
  <si>
    <t>ADVOCATE PERRO 2,5ML</t>
  </si>
  <si>
    <t>ADVOCATE PERRO 4ML</t>
  </si>
  <si>
    <t>SERESTO GATO Y PERRO HASTA 8KG</t>
  </si>
  <si>
    <t>SERESTO PERRO MAS 8 KG</t>
  </si>
  <si>
    <t>DESCRIPCIÓN</t>
  </si>
  <si>
    <t>TRATAMIENTO ANTIPULGAS</t>
  </si>
  <si>
    <t>PARASITOS INTERNOS Y EXTERNOS</t>
  </si>
  <si>
    <t>PARASITOS EXTERNOS</t>
  </si>
  <si>
    <t>TIPO</t>
  </si>
  <si>
    <t>PIPETA</t>
  </si>
  <si>
    <t>COLLAR</t>
  </si>
  <si>
    <t>CAFÉ</t>
  </si>
  <si>
    <t xml:space="preserve"> LAVANDA - BEBE</t>
  </si>
  <si>
    <t>MEVERMIC CAJA 50UNI</t>
  </si>
  <si>
    <t>||||-6</t>
  </si>
  <si>
    <t>?</t>
  </si>
  <si>
    <t>1a 5</t>
  </si>
  <si>
    <t>ñlp c</t>
  </si>
  <si>
    <t>surtido</t>
  </si>
  <si>
    <t>20 a $20.500</t>
  </si>
  <si>
    <t>6 a 19 $22.000</t>
  </si>
  <si>
    <t>marben beef bully stick</t>
  </si>
  <si>
    <t>Balde cat snack cremoso 50unid</t>
  </si>
  <si>
    <t>CAJA DENTALIGHT 6UNID</t>
  </si>
  <si>
    <t>Descripcion</t>
  </si>
  <si>
    <t>Cantidad</t>
  </si>
  <si>
    <t>Precio Neto</t>
  </si>
  <si>
    <t>Precio c/iva</t>
  </si>
  <si>
    <t>Precio Pet</t>
  </si>
  <si>
    <t>Precio Local</t>
  </si>
  <si>
    <t>N&amp;D CALABAZA GATO AD CASTRADO POLLO 1,5k</t>
  </si>
  <si>
    <t>N&amp;D CALABAZA GATO AD CASTRADO POLLO 7,5k</t>
  </si>
  <si>
    <t>N&amp;D CALABAZA GATO AD POLLO 7,5K</t>
  </si>
  <si>
    <t>N&amp;D CALABAZA GATO ADT PATO 1,5K</t>
  </si>
  <si>
    <t>N&amp;D CALABAZA GATO ADT SALMON 1,5K</t>
  </si>
  <si>
    <t>N&amp;D ESPIRULINA GATO ADT TILAPIA 1,5K</t>
  </si>
  <si>
    <t>N&amp;D ESPIRULINA GATO ADT TILAPIA 7K</t>
  </si>
  <si>
    <t>N&amp;D ESPIRULINA GATO CASTRADO CERDO 1,5K</t>
  </si>
  <si>
    <t>N&amp;D ESPIRULINA GATO CASTRADO CERDO 7K</t>
  </si>
  <si>
    <t>N&amp;D OCEAN GATO ADT CASTRADO SALMON 1,5K</t>
  </si>
  <si>
    <t>N&amp;D OCEAN GATO ADT CASTRADO SALMON 7,5K</t>
  </si>
  <si>
    <t>N&amp;D OCEAN GATO ATUN Y SALMON 70G 6UN=CJ</t>
  </si>
  <si>
    <t>N&amp;D PRIME GATITO POLLO 1,5K</t>
  </si>
  <si>
    <t>N&amp;D PRIME GATO ADT CASTRADO POLLO 1,5K</t>
  </si>
  <si>
    <t>N&amp;D PRIME GATO ADT CASTRADO POLLO 7,5K</t>
  </si>
  <si>
    <t>N&amp;D PRIME GATO ADT POLLO 1,5K</t>
  </si>
  <si>
    <t>N&amp;D PRIME GATO ADT POLLO 7,5K</t>
  </si>
  <si>
    <t>N&amp;D PRIME PERRO ADT PEQ POLLO 10,1K</t>
  </si>
  <si>
    <t>N&amp;D TROPICAL PERRO ADT MED CERDO 12K</t>
  </si>
  <si>
    <t>N&amp;D TROPICAL PERRO ADT MED POLLO 10,1K</t>
  </si>
  <si>
    <t>N&amp;D TROPICAL PERRO ADT MED POLLO 12K</t>
  </si>
  <si>
    <t>N&amp;D TROPICAL PERRO ADT PEQ SALMON 2,5K</t>
  </si>
  <si>
    <t>ND GATO JABALI Y MANZANA 70G 6UN=CJ</t>
  </si>
  <si>
    <t>ND GATO POLLO Y GRANADA 70G 6UN=CJ</t>
  </si>
  <si>
    <t>REVOLUTION PLUS 1 / 5KG A 10KG</t>
  </si>
  <si>
    <t xml:space="preserve">SACHETS TASTY FARM </t>
  </si>
  <si>
    <t>PROPLAN</t>
  </si>
  <si>
    <t>PRO PLAN VETERINARYDIETS CNNE HA 7,5KG XL</t>
  </si>
  <si>
    <t>CANTIDAD/U</t>
  </si>
  <si>
    <t>PACK</t>
  </si>
  <si>
    <t>PRECIO TOTAL</t>
  </si>
  <si>
    <t>TOTAL C/IVA</t>
  </si>
  <si>
    <t>PRECIO U. NETO</t>
  </si>
  <si>
    <t>PRECIO U. C/IVA</t>
  </si>
  <si>
    <t>TOTAL CON IVA</t>
  </si>
  <si>
    <t>PRO PLAN URINARY CAT 3KG AR</t>
  </si>
  <si>
    <t>PRO PLAN ADULT SMALL BREED 3KG AR</t>
  </si>
  <si>
    <t>PRO PLAN EXIGENT SMALL BREED 3KG AR</t>
  </si>
  <si>
    <t>PRO PLAN PUPPY SMALL BREED 3KG AR</t>
  </si>
  <si>
    <t>PRO PLAN PUPPY SMALL BREED 1KG AR</t>
  </si>
  <si>
    <t>PRO PLAN ADULT CAT 3KG AR</t>
  </si>
  <si>
    <t>PRO PLAN ADULT CAT 7+ 3KG AR</t>
  </si>
  <si>
    <t>PRO PLAN STERILIZED CAT 3KG AR</t>
  </si>
  <si>
    <t>PRO PLAN URINARY CAT 1KG AR</t>
  </si>
  <si>
    <t>PRO PLAN ADULT CAT LIVE CLEAR 3KG AR</t>
  </si>
  <si>
    <t>PRO PLAN VETERINARYDIETS CNNE HA 2KG XL</t>
  </si>
  <si>
    <t>PPVD NF FUNCION RENAL CNNE 2KG AR</t>
  </si>
  <si>
    <t>PPVD EN GASTROINTESTINAL FNL 1,5KG AR</t>
  </si>
  <si>
    <t>PPVD EN GASTROINTESTINAL CNNE 2KG AR</t>
  </si>
  <si>
    <t>PPVD CANINE EN CNNE 380G N8 US</t>
  </si>
  <si>
    <t>PPVD CRITICAL NUTRITION 5,5OZ N1 US</t>
  </si>
  <si>
    <t>SUPERPET GATO</t>
  </si>
  <si>
    <t>FIT FÓRMULA GATITO</t>
  </si>
  <si>
    <t>BRAVECTO 1 TABLETA    500 MG   10-20 KG.</t>
  </si>
  <si>
    <t>BRAVECTO 1 TABLETA   1000 MG   20-40 KG.</t>
  </si>
  <si>
    <t>BRAVECTO 1 TABLETA   1400 MG   40-56 KG.</t>
  </si>
  <si>
    <t>BRAVECTO 1 TABLETA  112,5 MG   2-4,5 KG.</t>
  </si>
  <si>
    <t>ADVANTAGE GATO  0,4 ML   HASTA 4  KG</t>
  </si>
  <si>
    <t>ADVANTAGE GATO  0,8 ML   4 - 8  KG</t>
  </si>
  <si>
    <t>ADVOCATE GATO O,4 ML</t>
  </si>
  <si>
    <t>ADVOCATE GATO O,8 ML</t>
  </si>
  <si>
    <t>BRAVECTO 1M 45MG (2 A 4,5KG) 1X1 TAB</t>
  </si>
  <si>
    <t>BRAVECTO 1M 200MG (10 A 20KG) 1X1 TAB</t>
  </si>
  <si>
    <t>BRAVECTO 1M 400MG (20 A 40KG) 1X1 TAB</t>
  </si>
  <si>
    <t>BRAVECTO GATO PIPETA 112,5 MG 1,2-2,8 KG</t>
  </si>
  <si>
    <t>BRAVECTO GATO PIPETA 250 MG  2,8-6,25 KG</t>
  </si>
  <si>
    <t>BRAVECTO GATO PIPETA 500 MG 6,25-12,5 KG</t>
  </si>
  <si>
    <t>NEXGARD COMBO GATO</t>
  </si>
  <si>
    <t xml:space="preserve">NEXGARD COMBO GATO 0,8KG A 2,5KG </t>
  </si>
  <si>
    <t>NEXGARD SPECTRA 2-3,5 KG 1 COMPRIMIDO</t>
  </si>
  <si>
    <t>NEXGARD SPECTRA 3,6-7,5 KG 1 COMPRIMIDO</t>
  </si>
  <si>
    <t>NEXGARD SPECTRA 7,6-15 KG 1 COMPRIMIDO</t>
  </si>
  <si>
    <t>NEXGARD SPECTRA 15,1-30 KG 1 COMPRIMIDO</t>
  </si>
  <si>
    <t>LATA PERRO 24 unidades</t>
  </si>
  <si>
    <t>LATA GATO 24 unidades</t>
  </si>
  <si>
    <t>tr56hyuuuuuu</t>
  </si>
  <si>
    <t>BRAVECTO 1 TABLETA    250 MG  4,5 A 10 KG.</t>
  </si>
  <si>
    <t>BRAVECTO 1M                   100MG           (4,5 A 10KG) 1X1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</si>
</sst>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8">
    <xf numFmtId="0" fontId="0" fillId="0" borderId="0" xfId="0"/>
    <xf numFmtId="0" fontId="0" fillId="0" borderId="0" xfId="0" applyFill="1" applyAlignment="1">
      <alignment vertical="center"/>
    </xf>
    <xf numFmtId="0" fontId="0" fillId="0" borderId="2" xfId="0" applyBorder="1"/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42" fontId="0" fillId="0" borderId="2" xfId="1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42" fontId="0" fillId="0" borderId="2" xfId="1" applyFont="1" applyFill="1" applyBorder="1"/>
    <xf numFmtId="0" fontId="0" fillId="0" borderId="2" xfId="0" applyFill="1" applyBorder="1"/>
    <xf numFmtId="0" fontId="0" fillId="0" borderId="0" xfId="0" applyFill="1" applyBorder="1" applyAlignment="1">
      <alignment vertical="center"/>
    </xf>
    <xf numFmtId="42" fontId="0" fillId="0" borderId="0" xfId="1" applyFont="1"/>
    <xf numFmtId="42" fontId="0" fillId="0" borderId="2" xfId="1" applyFont="1" applyBorder="1"/>
    <xf numFmtId="0" fontId="0" fillId="0" borderId="0" xfId="0" applyFill="1"/>
    <xf numFmtId="0" fontId="0" fillId="0" borderId="2" xfId="0" applyBorder="1" applyAlignment="1">
      <alignment vertical="top"/>
    </xf>
    <xf numFmtId="42" fontId="0" fillId="0" borderId="0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42" fontId="3" fillId="2" borderId="2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2" fontId="3" fillId="2" borderId="1" xfId="1" applyFont="1" applyFill="1" applyBorder="1" applyAlignment="1">
      <alignment horizontal="center"/>
    </xf>
    <xf numFmtId="0" fontId="3" fillId="2" borderId="1" xfId="0" applyFont="1" applyFill="1" applyBorder="1"/>
    <xf numFmtId="0" fontId="2" fillId="0" borderId="2" xfId="0" applyFont="1" applyFill="1" applyBorder="1" applyAlignment="1">
      <alignment vertical="center"/>
    </xf>
    <xf numFmtId="0" fontId="0" fillId="3" borderId="2" xfId="0" applyFill="1" applyBorder="1"/>
    <xf numFmtId="0" fontId="2" fillId="0" borderId="2" xfId="0" applyFont="1" applyBorder="1"/>
    <xf numFmtId="0" fontId="2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0" fillId="2" borderId="2" xfId="0" applyFill="1" applyBorder="1"/>
    <xf numFmtId="6" fontId="0" fillId="0" borderId="2" xfId="0" applyNumberFormat="1" applyBorder="1"/>
    <xf numFmtId="42" fontId="5" fillId="0" borderId="0" xfId="1" applyFont="1"/>
    <xf numFmtId="0" fontId="5" fillId="0" borderId="0" xfId="0" applyFont="1"/>
    <xf numFmtId="0" fontId="5" fillId="0" borderId="2" xfId="0" applyFont="1" applyBorder="1"/>
    <xf numFmtId="42" fontId="5" fillId="0" borderId="2" xfId="1" applyFont="1" applyBorder="1"/>
    <xf numFmtId="0" fontId="5" fillId="0" borderId="2" xfId="0" applyFont="1" applyFill="1" applyBorder="1"/>
    <xf numFmtId="42" fontId="5" fillId="0" borderId="2" xfId="1" applyFont="1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3" fillId="0" borderId="2" xfId="0" applyFont="1" applyBorder="1"/>
    <xf numFmtId="164" fontId="3" fillId="0" borderId="2" xfId="0" applyNumberFormat="1" applyFont="1" applyBorder="1"/>
    <xf numFmtId="0" fontId="3" fillId="0" borderId="0" xfId="0" applyFont="1"/>
    <xf numFmtId="164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2" xfId="0" applyFont="1" applyFill="1" applyBorder="1"/>
    <xf numFmtId="0" fontId="0" fillId="0" borderId="0" xfId="0" applyFill="1" applyBorder="1"/>
    <xf numFmtId="42" fontId="0" fillId="0" borderId="0" xfId="1" applyFont="1" applyFill="1" applyBorder="1"/>
    <xf numFmtId="42" fontId="5" fillId="0" borderId="0" xfId="0" applyNumberFormat="1" applyFont="1"/>
    <xf numFmtId="14" fontId="3" fillId="2" borderId="2" xfId="0" applyNumberFormat="1" applyFont="1" applyFill="1" applyBorder="1"/>
    <xf numFmtId="0" fontId="0" fillId="0" borderId="2" xfId="0" applyBorder="1" applyAlignment="1">
      <alignment horizontal="right"/>
    </xf>
    <xf numFmtId="42" fontId="0" fillId="0" borderId="0" xfId="0" applyNumberFormat="1"/>
    <xf numFmtId="42" fontId="0" fillId="0" borderId="0" xfId="0" applyNumberFormat="1" applyFont="1" applyFill="1" applyBorder="1"/>
    <xf numFmtId="42" fontId="0" fillId="0" borderId="7" xfId="1" applyFont="1" applyBorder="1"/>
    <xf numFmtId="0" fontId="0" fillId="5" borderId="2" xfId="0" applyFill="1" applyBorder="1" applyAlignment="1">
      <alignment vertical="center"/>
    </xf>
    <xf numFmtId="42" fontId="0" fillId="5" borderId="2" xfId="1" applyFont="1" applyFill="1" applyBorder="1" applyAlignment="1">
      <alignment vertical="center"/>
    </xf>
    <xf numFmtId="14" fontId="0" fillId="0" borderId="0" xfId="0" applyNumberFormat="1"/>
    <xf numFmtId="42" fontId="0" fillId="0" borderId="0" xfId="1" applyFont="1" applyBorder="1"/>
    <xf numFmtId="14" fontId="0" fillId="2" borderId="2" xfId="0" applyNumberFormat="1" applyFill="1" applyBorder="1"/>
    <xf numFmtId="6" fontId="0" fillId="0" borderId="2" xfId="0" applyNumberFormat="1" applyFill="1" applyBorder="1"/>
    <xf numFmtId="42" fontId="0" fillId="0" borderId="2" xfId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2" borderId="7" xfId="0" applyFont="1" applyFill="1" applyBorder="1"/>
    <xf numFmtId="0" fontId="0" fillId="0" borderId="0" xfId="0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2" fontId="0" fillId="0" borderId="2" xfId="1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vertical="center"/>
    </xf>
    <xf numFmtId="42" fontId="0" fillId="0" borderId="3" xfId="1" applyFont="1" applyFill="1" applyBorder="1" applyAlignment="1">
      <alignment vertical="center"/>
    </xf>
    <xf numFmtId="0" fontId="0" fillId="0" borderId="3" xfId="0" applyBorder="1"/>
    <xf numFmtId="0" fontId="0" fillId="0" borderId="7" xfId="0" applyBorder="1"/>
    <xf numFmtId="42" fontId="8" fillId="2" borderId="9" xfId="1" applyFont="1" applyFill="1" applyBorder="1" applyAlignment="1">
      <alignment horizontal="center"/>
    </xf>
    <xf numFmtId="0" fontId="9" fillId="0" borderId="9" xfId="0" applyFont="1" applyBorder="1"/>
    <xf numFmtId="0" fontId="11" fillId="0" borderId="2" xfId="0" applyFont="1" applyBorder="1"/>
    <xf numFmtId="0" fontId="0" fillId="0" borderId="2" xfId="0" applyBorder="1" applyAlignment="1">
      <alignment horizontal="left"/>
    </xf>
    <xf numFmtId="0" fontId="11" fillId="2" borderId="2" xfId="0" applyFont="1" applyFill="1" applyBorder="1"/>
    <xf numFmtId="42" fontId="11" fillId="2" borderId="2" xfId="1" applyFont="1" applyFill="1" applyBorder="1"/>
    <xf numFmtId="0" fontId="11" fillId="0" borderId="2" xfId="0" applyFont="1" applyFill="1" applyBorder="1"/>
    <xf numFmtId="42" fontId="11" fillId="0" borderId="2" xfId="1" applyFont="1" applyBorder="1"/>
    <xf numFmtId="0" fontId="11" fillId="5" borderId="2" xfId="0" applyFont="1" applyFill="1" applyBorder="1"/>
    <xf numFmtId="42" fontId="11" fillId="5" borderId="2" xfId="1" applyFont="1" applyFill="1" applyBorder="1"/>
    <xf numFmtId="0" fontId="11" fillId="0" borderId="2" xfId="0" applyFont="1" applyFill="1" applyBorder="1" applyAlignment="1">
      <alignment vertical="center"/>
    </xf>
    <xf numFmtId="42" fontId="11" fillId="0" borderId="2" xfId="1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2" xfId="0" applyFill="1" applyBorder="1" applyAlignment="1">
      <alignment vertical="top"/>
    </xf>
    <xf numFmtId="0" fontId="0" fillId="2" borderId="11" xfId="0" applyFill="1" applyBorder="1"/>
    <xf numFmtId="0" fontId="0" fillId="2" borderId="12" xfId="0" applyFill="1" applyBorder="1"/>
    <xf numFmtId="14" fontId="0" fillId="2" borderId="12" xfId="0" applyNumberFormat="1" applyFill="1" applyBorder="1"/>
    <xf numFmtId="0" fontId="0" fillId="0" borderId="14" xfId="0" applyBorder="1"/>
    <xf numFmtId="0" fontId="0" fillId="0" borderId="15" xfId="0" applyBorder="1"/>
    <xf numFmtId="0" fontId="0" fillId="2" borderId="13" xfId="0" applyFill="1" applyBorder="1"/>
    <xf numFmtId="0" fontId="0" fillId="2" borderId="17" xfId="0" applyFill="1" applyBorder="1"/>
    <xf numFmtId="0" fontId="0" fillId="0" borderId="18" xfId="0" applyBorder="1"/>
    <xf numFmtId="42" fontId="0" fillId="0" borderId="16" xfId="1" applyFont="1" applyBorder="1"/>
    <xf numFmtId="0" fontId="3" fillId="0" borderId="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0" fillId="0" borderId="8" xfId="0" applyFill="1" applyBorder="1" applyAlignment="1">
      <alignment vertical="center"/>
    </xf>
    <xf numFmtId="42" fontId="3" fillId="2" borderId="7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2" fontId="0" fillId="0" borderId="7" xfId="1" applyFont="1" applyFill="1" applyBorder="1"/>
    <xf numFmtId="0" fontId="0" fillId="0" borderId="9" xfId="0" applyFont="1" applyFill="1" applyBorder="1" applyAlignment="1">
      <alignment vertical="center"/>
    </xf>
    <xf numFmtId="42" fontId="0" fillId="0" borderId="9" xfId="1" applyFont="1" applyFill="1" applyBorder="1"/>
    <xf numFmtId="0" fontId="0" fillId="0" borderId="9" xfId="0" applyFont="1" applyBorder="1"/>
    <xf numFmtId="0" fontId="2" fillId="0" borderId="9" xfId="0" applyFont="1" applyBorder="1"/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/>
    <xf numFmtId="42" fontId="5" fillId="0" borderId="0" xfId="1" applyFont="1" applyFill="1"/>
    <xf numFmtId="0" fontId="0" fillId="0" borderId="0" xfId="0" applyFont="1"/>
    <xf numFmtId="0" fontId="5" fillId="0" borderId="2" xfId="0" applyFont="1" applyFill="1" applyBorder="1" applyAlignment="1">
      <alignment wrapText="1"/>
    </xf>
    <xf numFmtId="42" fontId="5" fillId="0" borderId="2" xfId="1" applyFont="1" applyFill="1" applyBorder="1" applyAlignment="1">
      <alignment wrapText="1"/>
    </xf>
    <xf numFmtId="0" fontId="0" fillId="0" borderId="2" xfId="0" applyFont="1" applyBorder="1"/>
    <xf numFmtId="42" fontId="5" fillId="0" borderId="10" xfId="1" applyFont="1" applyBorder="1"/>
    <xf numFmtId="0" fontId="0" fillId="6" borderId="9" xfId="0" applyFont="1" applyFill="1" applyBorder="1" applyAlignment="1">
      <alignment vertical="center"/>
    </xf>
    <xf numFmtId="42" fontId="0" fillId="6" borderId="9" xfId="1" applyFont="1" applyFill="1" applyBorder="1"/>
    <xf numFmtId="0" fontId="0" fillId="0" borderId="19" xfId="0" applyBorder="1"/>
    <xf numFmtId="42" fontId="9" fillId="0" borderId="9" xfId="1" applyFont="1" applyFill="1" applyBorder="1"/>
    <xf numFmtId="42" fontId="9" fillId="0" borderId="9" xfId="1" applyFont="1" applyBorder="1"/>
    <xf numFmtId="0" fontId="0" fillId="6" borderId="2" xfId="0" applyFill="1" applyBorder="1" applyAlignment="1">
      <alignment vertical="center"/>
    </xf>
    <xf numFmtId="0" fontId="0" fillId="6" borderId="2" xfId="0" applyFill="1" applyBorder="1"/>
    <xf numFmtId="42" fontId="0" fillId="6" borderId="2" xfId="1" applyFont="1" applyFill="1" applyBorder="1"/>
    <xf numFmtId="0" fontId="0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3" borderId="2" xfId="0" applyFill="1" applyBorder="1" applyAlignment="1">
      <alignment vertical="top"/>
    </xf>
    <xf numFmtId="6" fontId="0" fillId="3" borderId="2" xfId="0" applyNumberFormat="1" applyFill="1" applyBorder="1"/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2" fontId="0" fillId="2" borderId="2" xfId="1" applyFont="1" applyFill="1" applyBorder="1"/>
    <xf numFmtId="0" fontId="3" fillId="4" borderId="2" xfId="0" applyFont="1" applyFill="1" applyBorder="1" applyAlignment="1">
      <alignment horizontal="center"/>
    </xf>
    <xf numFmtId="0" fontId="10" fillId="0" borderId="0" xfId="0" applyFont="1" applyBorder="1"/>
    <xf numFmtId="42" fontId="10" fillId="0" borderId="0" xfId="1" applyFont="1" applyBorder="1"/>
    <xf numFmtId="0" fontId="0" fillId="0" borderId="2" xfId="0" applyBorder="1" applyAlignment="1">
      <alignment horizontal="center"/>
    </xf>
    <xf numFmtId="6" fontId="0" fillId="0" borderId="2" xfId="1" applyNumberFormat="1" applyFont="1" applyBorder="1"/>
    <xf numFmtId="0" fontId="11" fillId="0" borderId="0" xfId="0" applyFont="1" applyFill="1" applyBorder="1"/>
    <xf numFmtId="0" fontId="5" fillId="8" borderId="2" xfId="0" applyFont="1" applyFill="1" applyBorder="1"/>
    <xf numFmtId="0" fontId="0" fillId="2" borderId="2" xfId="0" applyFont="1" applyFill="1" applyBorder="1"/>
    <xf numFmtId="42" fontId="0" fillId="9" borderId="2" xfId="1" applyFont="1" applyFill="1" applyBorder="1"/>
    <xf numFmtId="42" fontId="0" fillId="3" borderId="2" xfId="1" applyFont="1" applyFill="1" applyBorder="1"/>
    <xf numFmtId="0" fontId="5" fillId="0" borderId="2" xfId="0" applyFont="1" applyFill="1" applyBorder="1" applyAlignment="1">
      <alignment vertical="center"/>
    </xf>
    <xf numFmtId="0" fontId="0" fillId="0" borderId="19" xfId="0" applyFont="1" applyBorder="1"/>
    <xf numFmtId="0" fontId="0" fillId="3" borderId="2" xfId="0" applyFill="1" applyBorder="1" applyAlignment="1">
      <alignment vertical="center"/>
    </xf>
    <xf numFmtId="0" fontId="3" fillId="0" borderId="0" xfId="0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3" fillId="0" borderId="0" xfId="0" applyFont="1"/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Fill="1" applyBorder="1"/>
    <xf numFmtId="0" fontId="13" fillId="0" borderId="2" xfId="0" applyFont="1" applyFill="1" applyBorder="1" applyAlignment="1">
      <alignment horizontal="center"/>
    </xf>
    <xf numFmtId="0" fontId="13" fillId="0" borderId="2" xfId="0" applyFont="1" applyBorder="1"/>
    <xf numFmtId="0" fontId="4" fillId="0" borderId="2" xfId="0" applyFont="1" applyFill="1" applyBorder="1" applyAlignment="1">
      <alignment vertical="center"/>
    </xf>
    <xf numFmtId="41" fontId="4" fillId="0" borderId="2" xfId="2" applyFont="1" applyFill="1" applyBorder="1"/>
    <xf numFmtId="42" fontId="4" fillId="0" borderId="2" xfId="1" applyFont="1" applyBorder="1"/>
    <xf numFmtId="41" fontId="4" fillId="0" borderId="2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42" fontId="0" fillId="3" borderId="2" xfId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42" fontId="0" fillId="9" borderId="2" xfId="0" applyNumberFormat="1" applyFill="1" applyBorder="1"/>
    <xf numFmtId="0" fontId="0" fillId="9" borderId="2" xfId="0" applyFill="1" applyBorder="1"/>
    <xf numFmtId="0" fontId="5" fillId="2" borderId="2" xfId="0" applyFont="1" applyFill="1" applyBorder="1"/>
    <xf numFmtId="42" fontId="5" fillId="2" borderId="2" xfId="1" applyFont="1" applyFill="1" applyBorder="1"/>
    <xf numFmtId="42" fontId="0" fillId="0" borderId="0" xfId="0" applyNumberFormat="1" applyFill="1" applyBorder="1"/>
    <xf numFmtId="0" fontId="5" fillId="0" borderId="0" xfId="0" applyFont="1" applyBorder="1"/>
    <xf numFmtId="0" fontId="5" fillId="0" borderId="0" xfId="0" applyFont="1" applyFill="1"/>
    <xf numFmtId="0" fontId="2" fillId="0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textRotation="45" wrapText="1"/>
    </xf>
    <xf numFmtId="0" fontId="2" fillId="0" borderId="4" xfId="0" applyFont="1" applyFill="1" applyBorder="1" applyAlignment="1">
      <alignment horizontal="center" vertical="center" textRotation="45" wrapText="1"/>
    </xf>
    <xf numFmtId="0" fontId="2" fillId="0" borderId="3" xfId="0" applyFont="1" applyFill="1" applyBorder="1" applyAlignment="1">
      <alignment horizontal="center" vertical="center" textRotation="45" wrapText="1"/>
    </xf>
    <xf numFmtId="0" fontId="2" fillId="0" borderId="1" xfId="0" applyFont="1" applyBorder="1" applyAlignment="1">
      <alignment horizontal="center" vertical="center" textRotation="45"/>
    </xf>
    <xf numFmtId="0" fontId="2" fillId="0" borderId="4" xfId="0" applyFont="1" applyBorder="1" applyAlignment="1">
      <alignment horizontal="center" vertical="center" textRotation="45"/>
    </xf>
    <xf numFmtId="0" fontId="2" fillId="0" borderId="3" xfId="0" applyFont="1" applyBorder="1" applyAlignment="1">
      <alignment horizontal="center" vertical="center" textRotation="45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45"/>
    </xf>
  </cellXfs>
  <cellStyles count="3">
    <cellStyle name="Millares [0]" xfId="2" builtinId="6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31</xdr:row>
      <xdr:rowOff>0</xdr:rowOff>
    </xdr:from>
    <xdr:to>
      <xdr:col>5</xdr:col>
      <xdr:colOff>304800</xdr:colOff>
      <xdr:row>32</xdr:row>
      <xdr:rowOff>114300</xdr:rowOff>
    </xdr:to>
    <xdr:sp macro="" textlink="">
      <xdr:nvSpPr>
        <xdr:cNvPr id="1025" name="AutoShape 1" descr="Interruptor Faros Para Vw Cabriolet 1984-89 Quantum 1982-88"/>
        <xdr:cNvSpPr>
          <a:spLocks noChangeAspect="1" noChangeArrowheads="1"/>
        </xdr:cNvSpPr>
      </xdr:nvSpPr>
      <xdr:spPr bwMode="auto">
        <a:xfrm>
          <a:off x="61341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52"/>
  <sheetViews>
    <sheetView zoomScale="75" zoomScaleNormal="75" workbookViewId="0">
      <selection activeCell="H7" sqref="H7"/>
    </sheetView>
  </sheetViews>
  <sheetFormatPr baseColWidth="10" defaultColWidth="11.42578125" defaultRowHeight="15" x14ac:dyDescent="0.25"/>
  <cols>
    <col min="2" max="2" width="39.85546875" bestFit="1" customWidth="1"/>
    <col min="3" max="3" width="32.7109375" bestFit="1" customWidth="1"/>
    <col min="7" max="7" width="27.140625" bestFit="1" customWidth="1"/>
  </cols>
  <sheetData>
    <row r="2" spans="2:9" ht="26.25" x14ac:dyDescent="0.4">
      <c r="B2" s="179" t="s">
        <v>246</v>
      </c>
      <c r="C2" s="179"/>
    </row>
    <row r="3" spans="2:9" ht="26.25" x14ac:dyDescent="0.4">
      <c r="B3" s="180" t="s">
        <v>266</v>
      </c>
      <c r="C3" s="28" t="s">
        <v>106</v>
      </c>
    </row>
    <row r="4" spans="2:9" ht="26.25" x14ac:dyDescent="0.4">
      <c r="B4" s="180"/>
      <c r="C4" s="28" t="s">
        <v>36</v>
      </c>
      <c r="G4" s="11"/>
      <c r="H4" s="11"/>
      <c r="I4" s="16"/>
    </row>
    <row r="5" spans="2:9" ht="26.25" x14ac:dyDescent="0.4">
      <c r="B5" s="180"/>
      <c r="C5" s="28" t="s">
        <v>252</v>
      </c>
      <c r="G5" s="11"/>
      <c r="H5" s="52"/>
      <c r="I5" s="53"/>
    </row>
    <row r="6" spans="2:9" ht="26.25" x14ac:dyDescent="0.4">
      <c r="B6" s="180"/>
      <c r="C6" s="28" t="s">
        <v>55</v>
      </c>
      <c r="G6" s="11"/>
      <c r="H6" s="11"/>
      <c r="I6" s="53"/>
    </row>
    <row r="7" spans="2:9" ht="26.25" x14ac:dyDescent="0.4">
      <c r="B7" s="180"/>
      <c r="C7" s="28" t="s">
        <v>59</v>
      </c>
      <c r="G7" s="11"/>
      <c r="H7" s="11"/>
      <c r="I7" s="53"/>
    </row>
    <row r="8" spans="2:9" ht="26.25" x14ac:dyDescent="0.4">
      <c r="B8" s="180"/>
      <c r="C8" s="28" t="s">
        <v>220</v>
      </c>
      <c r="G8" s="11"/>
      <c r="H8" s="11"/>
      <c r="I8" s="53"/>
    </row>
    <row r="9" spans="2:9" ht="26.25" x14ac:dyDescent="0.4">
      <c r="B9" s="180"/>
      <c r="C9" s="28" t="s">
        <v>129</v>
      </c>
      <c r="G9" s="11"/>
      <c r="H9" s="11"/>
      <c r="I9" s="53"/>
    </row>
    <row r="10" spans="2:9" ht="26.25" x14ac:dyDescent="0.4">
      <c r="B10" s="180"/>
      <c r="C10" s="28" t="s">
        <v>245</v>
      </c>
    </row>
    <row r="11" spans="2:9" ht="26.25" x14ac:dyDescent="0.4">
      <c r="B11" s="180" t="s">
        <v>267</v>
      </c>
      <c r="C11" s="29" t="s">
        <v>29</v>
      </c>
    </row>
    <row r="12" spans="2:9" ht="26.25" x14ac:dyDescent="0.4">
      <c r="B12" s="180"/>
      <c r="C12" s="29" t="s">
        <v>17</v>
      </c>
    </row>
    <row r="13" spans="2:9" ht="26.25" x14ac:dyDescent="0.4">
      <c r="B13" s="180"/>
      <c r="C13" s="29" t="s">
        <v>0</v>
      </c>
    </row>
    <row r="14" spans="2:9" ht="26.25" x14ac:dyDescent="0.4">
      <c r="B14" s="180" t="s">
        <v>265</v>
      </c>
      <c r="C14" s="29" t="s">
        <v>253</v>
      </c>
    </row>
    <row r="15" spans="2:9" ht="26.25" x14ac:dyDescent="0.4">
      <c r="B15" s="180"/>
      <c r="C15" s="29" t="s">
        <v>254</v>
      </c>
    </row>
    <row r="16" spans="2:9" ht="26.25" x14ac:dyDescent="0.4">
      <c r="B16" s="180"/>
      <c r="C16" s="29" t="s">
        <v>65</v>
      </c>
    </row>
    <row r="17" spans="2:3" ht="26.25" x14ac:dyDescent="0.4">
      <c r="B17" s="180"/>
      <c r="C17" s="29" t="s">
        <v>72</v>
      </c>
    </row>
    <row r="18" spans="2:3" ht="26.25" x14ac:dyDescent="0.4">
      <c r="B18" s="180" t="s">
        <v>264</v>
      </c>
      <c r="C18" s="29" t="s">
        <v>13</v>
      </c>
    </row>
    <row r="19" spans="2:3" ht="26.25" x14ac:dyDescent="0.4">
      <c r="B19" s="180"/>
      <c r="C19" s="29" t="s">
        <v>49</v>
      </c>
    </row>
    <row r="20" spans="2:3" ht="26.25" x14ac:dyDescent="0.4">
      <c r="B20" s="180"/>
      <c r="C20" s="29" t="s">
        <v>22</v>
      </c>
    </row>
    <row r="21" spans="2:3" ht="26.25" x14ac:dyDescent="0.4">
      <c r="B21" s="180"/>
      <c r="C21" s="29" t="s">
        <v>25</v>
      </c>
    </row>
    <row r="22" spans="2:3" ht="26.25" x14ac:dyDescent="0.4">
      <c r="B22" s="180" t="s">
        <v>263</v>
      </c>
      <c r="C22" s="29" t="s">
        <v>7</v>
      </c>
    </row>
    <row r="23" spans="2:3" ht="26.25" x14ac:dyDescent="0.4">
      <c r="B23" s="180"/>
      <c r="C23" s="29" t="s">
        <v>5</v>
      </c>
    </row>
    <row r="24" spans="2:3" ht="26.25" x14ac:dyDescent="0.4">
      <c r="B24" s="180"/>
      <c r="C24" s="29" t="s">
        <v>255</v>
      </c>
    </row>
    <row r="25" spans="2:3" ht="26.25" x14ac:dyDescent="0.4">
      <c r="B25" s="180"/>
      <c r="C25" s="29" t="s">
        <v>75</v>
      </c>
    </row>
    <row r="26" spans="2:3" ht="26.25" x14ac:dyDescent="0.4">
      <c r="B26" s="180"/>
      <c r="C26" s="29" t="s">
        <v>20</v>
      </c>
    </row>
    <row r="27" spans="2:3" ht="26.25" x14ac:dyDescent="0.4">
      <c r="B27" s="180" t="s">
        <v>262</v>
      </c>
      <c r="C27" s="29" t="s">
        <v>103</v>
      </c>
    </row>
    <row r="28" spans="2:3" ht="26.25" x14ac:dyDescent="0.4">
      <c r="B28" s="180"/>
      <c r="C28" s="29" t="s">
        <v>82</v>
      </c>
    </row>
    <row r="29" spans="2:3" ht="26.25" x14ac:dyDescent="0.4">
      <c r="B29" s="180"/>
      <c r="C29" s="29" t="s">
        <v>155</v>
      </c>
    </row>
    <row r="30" spans="2:3" ht="26.25" x14ac:dyDescent="0.4">
      <c r="B30" s="180"/>
      <c r="C30" s="29" t="s">
        <v>91</v>
      </c>
    </row>
    <row r="31" spans="2:3" ht="26.25" x14ac:dyDescent="0.4">
      <c r="B31" s="180"/>
      <c r="C31" s="29" t="s">
        <v>111</v>
      </c>
    </row>
    <row r="32" spans="2:3" ht="26.25" x14ac:dyDescent="0.4">
      <c r="B32" s="34" t="s">
        <v>261</v>
      </c>
      <c r="C32" s="29" t="s">
        <v>98</v>
      </c>
    </row>
    <row r="33" spans="2:3" ht="26.25" x14ac:dyDescent="0.4">
      <c r="B33" s="180" t="s">
        <v>260</v>
      </c>
      <c r="C33" s="29" t="s">
        <v>259</v>
      </c>
    </row>
    <row r="34" spans="2:3" ht="26.25" x14ac:dyDescent="0.4">
      <c r="B34" s="180"/>
      <c r="C34" s="29" t="s">
        <v>93</v>
      </c>
    </row>
    <row r="35" spans="2:3" ht="26.25" x14ac:dyDescent="0.4">
      <c r="B35" s="180"/>
      <c r="C35" s="29" t="s">
        <v>26</v>
      </c>
    </row>
    <row r="36" spans="2:3" ht="26.25" x14ac:dyDescent="0.4">
      <c r="B36" s="180" t="s">
        <v>269</v>
      </c>
      <c r="C36" s="29" t="s">
        <v>112</v>
      </c>
    </row>
    <row r="37" spans="2:3" ht="26.25" x14ac:dyDescent="0.4">
      <c r="B37" s="180"/>
      <c r="C37" s="29" t="s">
        <v>268</v>
      </c>
    </row>
    <row r="38" spans="2:3" ht="26.25" x14ac:dyDescent="0.4">
      <c r="B38" s="180"/>
      <c r="C38" s="29" t="s">
        <v>143</v>
      </c>
    </row>
    <row r="39" spans="2:3" ht="26.25" x14ac:dyDescent="0.4">
      <c r="B39" s="180" t="s">
        <v>270</v>
      </c>
      <c r="C39" s="29" t="s">
        <v>271</v>
      </c>
    </row>
    <row r="40" spans="2:3" ht="26.25" x14ac:dyDescent="0.4">
      <c r="B40" s="180"/>
      <c r="C40" s="29" t="s">
        <v>272</v>
      </c>
    </row>
    <row r="41" spans="2:3" ht="26.25" x14ac:dyDescent="0.4">
      <c r="B41" s="180"/>
      <c r="C41" s="29" t="s">
        <v>273</v>
      </c>
    </row>
    <row r="42" spans="2:3" ht="26.25" x14ac:dyDescent="0.4">
      <c r="B42" s="28" t="s">
        <v>274</v>
      </c>
      <c r="C42" s="29" t="s">
        <v>275</v>
      </c>
    </row>
    <row r="43" spans="2:3" ht="26.25" x14ac:dyDescent="0.4">
      <c r="B43" s="180" t="s">
        <v>276</v>
      </c>
      <c r="C43" s="28" t="s">
        <v>116</v>
      </c>
    </row>
    <row r="44" spans="2:3" ht="26.25" x14ac:dyDescent="0.4">
      <c r="B44" s="180"/>
      <c r="C44" s="29" t="s">
        <v>132</v>
      </c>
    </row>
    <row r="45" spans="2:3" ht="26.25" x14ac:dyDescent="0.4">
      <c r="B45" s="180"/>
      <c r="C45" s="29" t="s">
        <v>142</v>
      </c>
    </row>
    <row r="46" spans="2:3" ht="26.25" x14ac:dyDescent="0.4">
      <c r="B46" s="180" t="s">
        <v>277</v>
      </c>
      <c r="C46" s="29" t="s">
        <v>278</v>
      </c>
    </row>
    <row r="47" spans="2:3" ht="26.25" x14ac:dyDescent="0.4">
      <c r="B47" s="180"/>
      <c r="C47" s="29" t="s">
        <v>128</v>
      </c>
    </row>
    <row r="48" spans="2:3" ht="26.25" x14ac:dyDescent="0.4">
      <c r="B48" s="28" t="s">
        <v>352</v>
      </c>
      <c r="C48" s="29" t="s">
        <v>353</v>
      </c>
    </row>
    <row r="49" spans="2:3" ht="26.25" x14ac:dyDescent="0.4">
      <c r="B49" s="28" t="s">
        <v>354</v>
      </c>
      <c r="C49" s="29" t="s">
        <v>355</v>
      </c>
    </row>
    <row r="50" spans="2:3" ht="26.25" x14ac:dyDescent="0.4">
      <c r="B50" s="28" t="s">
        <v>356</v>
      </c>
      <c r="C50" s="28" t="s">
        <v>357</v>
      </c>
    </row>
    <row r="51" spans="2:3" ht="26.25" x14ac:dyDescent="0.4">
      <c r="B51" s="178" t="s">
        <v>434</v>
      </c>
      <c r="C51" s="29" t="s">
        <v>397</v>
      </c>
    </row>
    <row r="52" spans="2:3" ht="26.25" x14ac:dyDescent="0.4">
      <c r="B52" s="178"/>
      <c r="C52" s="29" t="s">
        <v>398</v>
      </c>
    </row>
  </sheetData>
  <mergeCells count="13">
    <mergeCell ref="B51:B52"/>
    <mergeCell ref="B2:C2"/>
    <mergeCell ref="B18:B21"/>
    <mergeCell ref="B27:B31"/>
    <mergeCell ref="B3:B10"/>
    <mergeCell ref="B11:B13"/>
    <mergeCell ref="B14:B17"/>
    <mergeCell ref="B22:B26"/>
    <mergeCell ref="B43:B45"/>
    <mergeCell ref="B46:B47"/>
    <mergeCell ref="B33:B35"/>
    <mergeCell ref="B36:B38"/>
    <mergeCell ref="B39:B41"/>
  </mergeCells>
  <pageMargins left="0.7" right="0.7" top="0.75" bottom="0.75" header="0.3" footer="0.3"/>
  <pageSetup scale="4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L62"/>
  <sheetViews>
    <sheetView zoomScale="70" zoomScaleNormal="70" workbookViewId="0">
      <selection activeCell="B2" sqref="B2:E32"/>
    </sheetView>
  </sheetViews>
  <sheetFormatPr baseColWidth="10" defaultColWidth="11.42578125" defaultRowHeight="15" x14ac:dyDescent="0.25"/>
  <cols>
    <col min="2" max="2" width="27.140625" style="17" bestFit="1" customWidth="1"/>
    <col min="3" max="3" width="26.85546875" style="17" bestFit="1" customWidth="1"/>
    <col min="4" max="4" width="42.85546875" bestFit="1" customWidth="1"/>
    <col min="5" max="5" width="12.85546875" bestFit="1" customWidth="1"/>
    <col min="6" max="6" width="16" bestFit="1" customWidth="1"/>
    <col min="7" max="7" width="19.28515625" style="12" bestFit="1" customWidth="1"/>
    <col min="8" max="8" width="30.85546875" bestFit="1" customWidth="1"/>
    <col min="9" max="9" width="18.5703125" bestFit="1" customWidth="1"/>
    <col min="10" max="10" width="21.85546875" bestFit="1" customWidth="1"/>
  </cols>
  <sheetData>
    <row r="2" spans="2:9" ht="18.75" x14ac:dyDescent="0.3">
      <c r="B2" s="18" t="s">
        <v>485</v>
      </c>
      <c r="C2" s="18" t="s">
        <v>247</v>
      </c>
      <c r="D2" s="19" t="s">
        <v>248</v>
      </c>
      <c r="E2" s="19" t="s">
        <v>193</v>
      </c>
      <c r="F2" s="90" t="s">
        <v>194</v>
      </c>
      <c r="G2" s="19" t="s">
        <v>504</v>
      </c>
      <c r="H2" s="19"/>
    </row>
    <row r="3" spans="2:9" x14ac:dyDescent="0.25">
      <c r="B3" s="181" t="s">
        <v>106</v>
      </c>
      <c r="C3" s="183" t="s">
        <v>1</v>
      </c>
      <c r="D3" s="125" t="s">
        <v>107</v>
      </c>
      <c r="E3" s="126" t="s">
        <v>24</v>
      </c>
      <c r="F3" s="127">
        <v>15600</v>
      </c>
      <c r="G3" s="13">
        <v>17000</v>
      </c>
      <c r="H3" s="2"/>
      <c r="I3">
        <v>15750</v>
      </c>
    </row>
    <row r="4" spans="2:9" x14ac:dyDescent="0.25">
      <c r="B4" s="185"/>
      <c r="C4" s="183"/>
      <c r="D4" s="125" t="s">
        <v>107</v>
      </c>
      <c r="E4" s="126" t="s">
        <v>41</v>
      </c>
      <c r="F4" s="127">
        <v>24600</v>
      </c>
      <c r="G4" s="13">
        <v>27000</v>
      </c>
      <c r="H4" s="2"/>
      <c r="I4">
        <v>26950</v>
      </c>
    </row>
    <row r="5" spans="2:9" x14ac:dyDescent="0.25">
      <c r="B5" s="185"/>
      <c r="C5" s="183"/>
      <c r="D5" s="5" t="s">
        <v>37</v>
      </c>
      <c r="E5" s="10" t="s">
        <v>24</v>
      </c>
      <c r="F5" s="9">
        <v>15600</v>
      </c>
      <c r="G5" s="13">
        <v>17000</v>
      </c>
      <c r="H5" s="2"/>
    </row>
    <row r="6" spans="2:9" x14ac:dyDescent="0.25">
      <c r="B6" s="185"/>
      <c r="C6" s="183"/>
      <c r="D6" s="125" t="s">
        <v>37</v>
      </c>
      <c r="E6" s="126" t="s">
        <v>41</v>
      </c>
      <c r="F6" s="127">
        <v>24600</v>
      </c>
      <c r="G6" s="13">
        <v>27000</v>
      </c>
      <c r="H6" s="2"/>
    </row>
    <row r="7" spans="2:9" x14ac:dyDescent="0.25">
      <c r="B7" s="185"/>
      <c r="C7" s="183"/>
      <c r="D7" s="125" t="s">
        <v>108</v>
      </c>
      <c r="E7" s="126" t="s">
        <v>109</v>
      </c>
      <c r="F7" s="127">
        <v>25700</v>
      </c>
      <c r="G7" s="13">
        <v>28000</v>
      </c>
      <c r="H7" s="2"/>
    </row>
    <row r="8" spans="2:9" x14ac:dyDescent="0.25">
      <c r="B8" s="185"/>
      <c r="C8" s="183"/>
      <c r="D8" s="5" t="s">
        <v>469</v>
      </c>
      <c r="E8" s="10" t="s">
        <v>24</v>
      </c>
      <c r="F8" s="9">
        <v>16000</v>
      </c>
      <c r="G8" s="13">
        <v>18000</v>
      </c>
      <c r="H8" s="2"/>
    </row>
    <row r="9" spans="2:9" x14ac:dyDescent="0.25">
      <c r="B9" s="71"/>
      <c r="C9" s="71"/>
      <c r="D9" s="14"/>
      <c r="E9" s="14"/>
      <c r="F9" s="14"/>
    </row>
    <row r="10" spans="2:9" x14ac:dyDescent="0.25">
      <c r="B10" s="181" t="s">
        <v>36</v>
      </c>
      <c r="C10" s="183" t="s">
        <v>4</v>
      </c>
      <c r="D10" s="5" t="s">
        <v>598</v>
      </c>
      <c r="E10" s="5" t="s">
        <v>34</v>
      </c>
      <c r="F10" s="6">
        <v>23500</v>
      </c>
      <c r="G10" s="13">
        <v>26000</v>
      </c>
      <c r="H10" s="2"/>
    </row>
    <row r="11" spans="2:9" x14ac:dyDescent="0.25">
      <c r="B11" s="181"/>
      <c r="C11" s="183"/>
      <c r="D11" s="5" t="s">
        <v>599</v>
      </c>
      <c r="E11" s="5" t="s">
        <v>8</v>
      </c>
      <c r="F11" s="6">
        <v>23500</v>
      </c>
      <c r="G11" s="13">
        <v>26000</v>
      </c>
      <c r="H11" s="2"/>
    </row>
    <row r="12" spans="2:9" x14ac:dyDescent="0.25">
      <c r="B12" s="181"/>
      <c r="C12" s="183"/>
      <c r="D12" s="5" t="s">
        <v>600</v>
      </c>
      <c r="E12" s="5" t="s">
        <v>34</v>
      </c>
      <c r="F12" s="6">
        <v>25000</v>
      </c>
      <c r="G12" s="13">
        <v>27000</v>
      </c>
      <c r="H12" s="2"/>
    </row>
    <row r="13" spans="2:9" x14ac:dyDescent="0.25">
      <c r="B13" s="181"/>
      <c r="C13" s="183" t="s">
        <v>1</v>
      </c>
      <c r="D13" s="5" t="s">
        <v>39</v>
      </c>
      <c r="E13" s="5" t="s">
        <v>3</v>
      </c>
      <c r="F13" s="6">
        <v>16500</v>
      </c>
      <c r="G13" s="13"/>
      <c r="H13" s="2"/>
    </row>
    <row r="14" spans="2:9" x14ac:dyDescent="0.25">
      <c r="B14" s="181"/>
      <c r="C14" s="183"/>
      <c r="D14" s="5" t="s">
        <v>40</v>
      </c>
      <c r="E14" s="5" t="s">
        <v>3</v>
      </c>
      <c r="F14" s="6">
        <v>17000</v>
      </c>
      <c r="G14" s="13"/>
      <c r="H14" s="2"/>
    </row>
    <row r="15" spans="2:9" x14ac:dyDescent="0.25">
      <c r="B15" s="181"/>
      <c r="C15" s="183"/>
      <c r="D15" s="5" t="s">
        <v>39</v>
      </c>
      <c r="E15" s="5" t="s">
        <v>41</v>
      </c>
      <c r="F15" s="6">
        <v>19500</v>
      </c>
      <c r="G15" s="13"/>
      <c r="H15" s="2"/>
    </row>
    <row r="16" spans="2:9" x14ac:dyDescent="0.25">
      <c r="B16" s="181"/>
      <c r="C16" s="183"/>
      <c r="D16" s="5" t="s">
        <v>40</v>
      </c>
      <c r="E16" s="5" t="s">
        <v>41</v>
      </c>
      <c r="F16" s="6">
        <v>19000</v>
      </c>
      <c r="G16" s="13"/>
      <c r="H16" s="2"/>
    </row>
    <row r="17" spans="2:12" x14ac:dyDescent="0.25">
      <c r="B17" s="44"/>
      <c r="C17" s="44"/>
      <c r="D17" s="11"/>
      <c r="E17" s="11"/>
      <c r="F17" s="16"/>
    </row>
    <row r="18" spans="2:12" ht="18.75" customHeight="1" x14ac:dyDescent="0.25">
      <c r="B18" s="181" t="s">
        <v>252</v>
      </c>
      <c r="C18" s="67" t="s">
        <v>4</v>
      </c>
      <c r="D18" s="5" t="s">
        <v>15</v>
      </c>
      <c r="E18" s="5" t="s">
        <v>11</v>
      </c>
      <c r="F18" s="6">
        <v>19000</v>
      </c>
      <c r="G18" s="13">
        <v>20000</v>
      </c>
      <c r="H18" s="56"/>
      <c r="I18" s="2" t="s">
        <v>450</v>
      </c>
    </row>
    <row r="19" spans="2:12" ht="15" customHeight="1" x14ac:dyDescent="0.25">
      <c r="B19" s="181"/>
      <c r="C19" s="67" t="s">
        <v>1</v>
      </c>
      <c r="D19" s="5" t="s">
        <v>16</v>
      </c>
      <c r="E19" s="5" t="s">
        <v>8</v>
      </c>
      <c r="F19" s="6">
        <v>23000</v>
      </c>
      <c r="G19" s="9">
        <v>27000</v>
      </c>
      <c r="H19" s="10"/>
    </row>
    <row r="20" spans="2:12" x14ac:dyDescent="0.25">
      <c r="B20" s="71"/>
      <c r="C20" s="71"/>
      <c r="D20" s="14"/>
      <c r="E20" s="14"/>
      <c r="F20" s="14"/>
    </row>
    <row r="21" spans="2:12" x14ac:dyDescent="0.25">
      <c r="B21" s="181" t="s">
        <v>55</v>
      </c>
      <c r="C21" s="183" t="s">
        <v>4</v>
      </c>
      <c r="D21" s="5" t="s">
        <v>56</v>
      </c>
      <c r="E21" s="5" t="s">
        <v>34</v>
      </c>
      <c r="F21" s="6">
        <v>21000</v>
      </c>
      <c r="G21" s="13">
        <v>23000</v>
      </c>
      <c r="H21" s="2"/>
    </row>
    <row r="22" spans="2:12" x14ac:dyDescent="0.25">
      <c r="B22" s="185"/>
      <c r="C22" s="183"/>
      <c r="D22" s="5" t="s">
        <v>57</v>
      </c>
      <c r="E22" s="5" t="s">
        <v>34</v>
      </c>
      <c r="F22" s="6">
        <v>21000</v>
      </c>
      <c r="G22" s="13">
        <v>23000</v>
      </c>
      <c r="H22" s="2"/>
      <c r="I22">
        <v>22500</v>
      </c>
    </row>
    <row r="23" spans="2:12" x14ac:dyDescent="0.25">
      <c r="B23" s="185"/>
      <c r="C23" s="183"/>
      <c r="D23" s="5" t="s">
        <v>58</v>
      </c>
      <c r="E23" s="5" t="s">
        <v>11</v>
      </c>
      <c r="F23" s="6">
        <v>21000</v>
      </c>
      <c r="G23" s="13">
        <v>23000</v>
      </c>
      <c r="H23" s="2"/>
      <c r="J23" s="5" t="s">
        <v>58</v>
      </c>
      <c r="K23" s="5" t="s">
        <v>11</v>
      </c>
      <c r="L23" s="6">
        <v>23800</v>
      </c>
    </row>
    <row r="24" spans="2:12" x14ac:dyDescent="0.25">
      <c r="B24" s="181" t="s">
        <v>59</v>
      </c>
      <c r="C24" s="183" t="s">
        <v>1</v>
      </c>
      <c r="D24" s="5" t="s">
        <v>60</v>
      </c>
      <c r="E24" s="5" t="s">
        <v>3</v>
      </c>
      <c r="F24" s="6">
        <v>15000</v>
      </c>
      <c r="G24" s="13">
        <v>17000</v>
      </c>
      <c r="H24" s="2"/>
    </row>
    <row r="25" spans="2:12" x14ac:dyDescent="0.25">
      <c r="B25" s="181"/>
      <c r="C25" s="183"/>
      <c r="D25" s="5" t="s">
        <v>61</v>
      </c>
      <c r="E25" s="5" t="s">
        <v>3</v>
      </c>
      <c r="F25" s="6">
        <v>15000</v>
      </c>
      <c r="G25" s="13">
        <v>17000</v>
      </c>
      <c r="H25" s="2"/>
    </row>
    <row r="26" spans="2:12" x14ac:dyDescent="0.25">
      <c r="B26" s="71"/>
      <c r="C26" s="71"/>
      <c r="D26" s="14"/>
      <c r="E26" s="14"/>
      <c r="F26" s="14"/>
    </row>
    <row r="27" spans="2:12" ht="23.25" x14ac:dyDescent="0.25">
      <c r="B27" s="72" t="s">
        <v>220</v>
      </c>
      <c r="C27" s="67" t="s">
        <v>4</v>
      </c>
      <c r="D27" s="5" t="s">
        <v>221</v>
      </c>
      <c r="E27" s="5" t="s">
        <v>3</v>
      </c>
      <c r="F27" s="6">
        <v>10000</v>
      </c>
      <c r="G27" s="13">
        <v>10000</v>
      </c>
      <c r="H27" s="2"/>
    </row>
    <row r="28" spans="2:12" x14ac:dyDescent="0.25">
      <c r="B28" s="71"/>
      <c r="C28" s="71"/>
      <c r="D28" s="14"/>
      <c r="E28" s="14"/>
      <c r="F28" s="14"/>
    </row>
    <row r="29" spans="2:12" ht="15" customHeight="1" x14ac:dyDescent="0.25">
      <c r="B29" s="184" t="s">
        <v>129</v>
      </c>
      <c r="C29" s="183" t="s">
        <v>4</v>
      </c>
      <c r="D29" s="5" t="s">
        <v>130</v>
      </c>
      <c r="E29" s="10" t="s">
        <v>11</v>
      </c>
      <c r="F29" s="9">
        <v>31500</v>
      </c>
      <c r="G29" s="13">
        <v>32000</v>
      </c>
      <c r="H29" s="2"/>
    </row>
    <row r="30" spans="2:12" ht="15" customHeight="1" x14ac:dyDescent="0.25">
      <c r="B30" s="184"/>
      <c r="C30" s="183"/>
      <c r="D30" s="10" t="s">
        <v>131</v>
      </c>
      <c r="E30" s="10" t="s">
        <v>11</v>
      </c>
      <c r="F30" s="9">
        <v>34000</v>
      </c>
      <c r="G30" s="13">
        <v>35000</v>
      </c>
      <c r="H30" s="2"/>
    </row>
    <row r="31" spans="2:12" ht="15" customHeight="1" x14ac:dyDescent="0.25">
      <c r="B31" s="184"/>
      <c r="C31" s="183"/>
      <c r="D31" s="5" t="s">
        <v>130</v>
      </c>
      <c r="E31" s="10" t="s">
        <v>41</v>
      </c>
      <c r="F31" s="9">
        <v>21000</v>
      </c>
      <c r="G31" s="13"/>
      <c r="H31" s="2"/>
    </row>
    <row r="32" spans="2:12" ht="15" customHeight="1" x14ac:dyDescent="0.25">
      <c r="B32" s="184"/>
      <c r="C32" s="183"/>
      <c r="D32" s="10" t="s">
        <v>131</v>
      </c>
      <c r="E32" s="10" t="s">
        <v>41</v>
      </c>
      <c r="F32" s="9">
        <v>25000</v>
      </c>
      <c r="G32" s="13">
        <v>18000</v>
      </c>
      <c r="H32" s="2"/>
    </row>
    <row r="33" spans="2:8" hidden="1" x14ac:dyDescent="0.25">
      <c r="B33" s="71"/>
      <c r="C33" s="71"/>
      <c r="D33" s="14"/>
      <c r="E33" s="14"/>
      <c r="F33" s="14"/>
    </row>
    <row r="34" spans="2:8" ht="15" hidden="1" customHeight="1" x14ac:dyDescent="0.25">
      <c r="B34" s="181" t="s">
        <v>245</v>
      </c>
      <c r="C34" s="182" t="s">
        <v>240</v>
      </c>
      <c r="D34" s="10" t="s">
        <v>222</v>
      </c>
      <c r="E34" s="10" t="s">
        <v>223</v>
      </c>
      <c r="F34" s="9">
        <v>8000</v>
      </c>
      <c r="G34" s="13"/>
      <c r="H34" s="2"/>
    </row>
    <row r="35" spans="2:8" ht="15" hidden="1" customHeight="1" x14ac:dyDescent="0.25">
      <c r="B35" s="181"/>
      <c r="C35" s="182"/>
      <c r="D35" s="10" t="s">
        <v>222</v>
      </c>
      <c r="E35" s="10" t="s">
        <v>224</v>
      </c>
      <c r="F35" s="9">
        <v>14600</v>
      </c>
      <c r="G35" s="13"/>
      <c r="H35" s="2"/>
    </row>
    <row r="36" spans="2:8" hidden="1" x14ac:dyDescent="0.25">
      <c r="B36" s="181"/>
      <c r="C36" s="182"/>
      <c r="D36" s="10" t="s">
        <v>222</v>
      </c>
      <c r="E36" s="10" t="s">
        <v>225</v>
      </c>
      <c r="F36" s="9">
        <v>31000</v>
      </c>
      <c r="G36" s="13"/>
      <c r="H36" s="2"/>
    </row>
    <row r="37" spans="2:8" hidden="1" x14ac:dyDescent="0.25">
      <c r="B37" s="181"/>
      <c r="C37" s="182"/>
      <c r="D37" s="10" t="s">
        <v>226</v>
      </c>
      <c r="E37" s="10" t="s">
        <v>223</v>
      </c>
      <c r="F37" s="9">
        <v>7200</v>
      </c>
      <c r="G37" s="13"/>
      <c r="H37" s="2"/>
    </row>
    <row r="38" spans="2:8" hidden="1" x14ac:dyDescent="0.25">
      <c r="B38" s="181"/>
      <c r="C38" s="182"/>
      <c r="D38" s="10" t="s">
        <v>226</v>
      </c>
      <c r="E38" s="10" t="s">
        <v>224</v>
      </c>
      <c r="F38" s="9">
        <v>14600</v>
      </c>
      <c r="G38" s="13"/>
      <c r="H38" s="2"/>
    </row>
    <row r="39" spans="2:8" hidden="1" x14ac:dyDescent="0.25">
      <c r="B39" s="181"/>
      <c r="C39" s="182"/>
      <c r="D39" s="10" t="s">
        <v>226</v>
      </c>
      <c r="E39" s="10" t="s">
        <v>225</v>
      </c>
      <c r="F39" s="9">
        <v>25300</v>
      </c>
      <c r="G39" s="13"/>
      <c r="H39" s="2"/>
    </row>
    <row r="40" spans="2:8" hidden="1" x14ac:dyDescent="0.25">
      <c r="B40" s="181"/>
      <c r="C40" s="182" t="s">
        <v>241</v>
      </c>
      <c r="D40" s="10" t="s">
        <v>227</v>
      </c>
      <c r="E40" s="10" t="s">
        <v>224</v>
      </c>
      <c r="F40" s="9">
        <v>16500</v>
      </c>
      <c r="G40" s="13"/>
      <c r="H40" s="2"/>
    </row>
    <row r="41" spans="2:8" hidden="1" x14ac:dyDescent="0.25">
      <c r="B41" s="181"/>
      <c r="C41" s="182"/>
      <c r="D41" s="10" t="s">
        <v>227</v>
      </c>
      <c r="E41" s="10" t="s">
        <v>225</v>
      </c>
      <c r="F41" s="9">
        <v>31500</v>
      </c>
      <c r="G41" s="13"/>
      <c r="H41" s="2"/>
    </row>
    <row r="42" spans="2:8" hidden="1" x14ac:dyDescent="0.25">
      <c r="B42" s="181"/>
      <c r="C42" s="182"/>
      <c r="D42" s="10" t="s">
        <v>227</v>
      </c>
      <c r="E42" s="10" t="s">
        <v>228</v>
      </c>
      <c r="F42" s="9">
        <v>42500</v>
      </c>
      <c r="G42" s="13"/>
      <c r="H42" s="2"/>
    </row>
    <row r="43" spans="2:8" hidden="1" x14ac:dyDescent="0.25">
      <c r="B43" s="181"/>
      <c r="C43" s="182"/>
      <c r="D43" s="10" t="s">
        <v>227</v>
      </c>
      <c r="E43" s="10" t="s">
        <v>224</v>
      </c>
      <c r="F43" s="9">
        <v>15500</v>
      </c>
      <c r="G43" s="13"/>
      <c r="H43" s="2"/>
    </row>
    <row r="44" spans="2:8" hidden="1" x14ac:dyDescent="0.25">
      <c r="B44" s="181"/>
      <c r="C44" s="182"/>
      <c r="D44" s="10" t="s">
        <v>229</v>
      </c>
      <c r="E44" s="10" t="s">
        <v>225</v>
      </c>
      <c r="F44" s="9">
        <v>27000</v>
      </c>
      <c r="G44" s="13"/>
      <c r="H44" s="2"/>
    </row>
    <row r="45" spans="2:8" hidden="1" x14ac:dyDescent="0.25">
      <c r="B45" s="181"/>
      <c r="C45" s="182"/>
      <c r="D45" s="10" t="s">
        <v>229</v>
      </c>
      <c r="E45" s="10" t="s">
        <v>228</v>
      </c>
      <c r="F45" s="9">
        <v>39000</v>
      </c>
      <c r="G45" s="13"/>
      <c r="H45" s="2"/>
    </row>
    <row r="46" spans="2:8" hidden="1" x14ac:dyDescent="0.25">
      <c r="B46" s="181"/>
      <c r="C46" s="182" t="s">
        <v>242</v>
      </c>
      <c r="D46" s="10" t="s">
        <v>230</v>
      </c>
      <c r="E46" s="10" t="s">
        <v>224</v>
      </c>
      <c r="F46" s="9">
        <v>17000</v>
      </c>
      <c r="G46" s="13"/>
      <c r="H46" s="2"/>
    </row>
    <row r="47" spans="2:8" hidden="1" x14ac:dyDescent="0.25">
      <c r="B47" s="181"/>
      <c r="C47" s="182"/>
      <c r="D47" s="10" t="s">
        <v>230</v>
      </c>
      <c r="E47" s="10" t="s">
        <v>228</v>
      </c>
      <c r="F47" s="9">
        <v>46000</v>
      </c>
      <c r="G47" s="13"/>
      <c r="H47" s="2"/>
    </row>
    <row r="48" spans="2:8" hidden="1" x14ac:dyDescent="0.25">
      <c r="B48" s="181"/>
      <c r="C48" s="182"/>
      <c r="D48" s="10" t="s">
        <v>231</v>
      </c>
      <c r="E48" s="10" t="s">
        <v>224</v>
      </c>
      <c r="F48" s="9">
        <v>17700</v>
      </c>
      <c r="G48" s="13"/>
      <c r="H48" s="2"/>
    </row>
    <row r="49" spans="2:8" hidden="1" x14ac:dyDescent="0.25">
      <c r="B49" s="181"/>
      <c r="C49" s="182"/>
      <c r="D49" s="10" t="s">
        <v>231</v>
      </c>
      <c r="E49" s="10" t="s">
        <v>228</v>
      </c>
      <c r="F49" s="9">
        <v>41000</v>
      </c>
      <c r="G49" s="13"/>
      <c r="H49" s="2"/>
    </row>
    <row r="50" spans="2:8" hidden="1" x14ac:dyDescent="0.25">
      <c r="B50" s="181"/>
      <c r="C50" s="182"/>
      <c r="D50" s="10" t="s">
        <v>231</v>
      </c>
      <c r="E50" s="10" t="s">
        <v>232</v>
      </c>
      <c r="F50" s="9">
        <v>61000</v>
      </c>
      <c r="G50" s="13"/>
      <c r="H50" s="2"/>
    </row>
    <row r="51" spans="2:8" hidden="1" x14ac:dyDescent="0.25">
      <c r="B51" s="181"/>
      <c r="C51" s="183" t="s">
        <v>243</v>
      </c>
      <c r="D51" s="10" t="s">
        <v>233</v>
      </c>
      <c r="E51" s="10" t="s">
        <v>224</v>
      </c>
      <c r="F51" s="9">
        <v>17700</v>
      </c>
      <c r="G51" s="13"/>
      <c r="H51" s="2"/>
    </row>
    <row r="52" spans="2:8" hidden="1" x14ac:dyDescent="0.25">
      <c r="B52" s="181"/>
      <c r="C52" s="183"/>
      <c r="D52" s="10" t="s">
        <v>233</v>
      </c>
      <c r="E52" s="10" t="s">
        <v>234</v>
      </c>
      <c r="F52" s="9">
        <v>31500</v>
      </c>
      <c r="G52" s="13"/>
      <c r="H52" s="2"/>
    </row>
    <row r="53" spans="2:8" hidden="1" x14ac:dyDescent="0.25">
      <c r="B53" s="181"/>
      <c r="C53" s="183"/>
      <c r="D53" s="10" t="s">
        <v>235</v>
      </c>
      <c r="E53" s="10" t="s">
        <v>224</v>
      </c>
      <c r="F53" s="9">
        <v>17700</v>
      </c>
      <c r="G53" s="13"/>
      <c r="H53" s="2"/>
    </row>
    <row r="54" spans="2:8" hidden="1" x14ac:dyDescent="0.25">
      <c r="B54" s="181"/>
      <c r="C54" s="183"/>
      <c r="D54" s="10" t="s">
        <v>235</v>
      </c>
      <c r="E54" s="10" t="s">
        <v>228</v>
      </c>
      <c r="F54" s="9">
        <v>44000</v>
      </c>
      <c r="G54" s="13"/>
      <c r="H54" s="2"/>
    </row>
    <row r="55" spans="2:8" hidden="1" x14ac:dyDescent="0.25">
      <c r="B55" s="181"/>
      <c r="C55" s="183" t="s">
        <v>1</v>
      </c>
      <c r="D55" s="10" t="s">
        <v>236</v>
      </c>
      <c r="E55" s="10" t="s">
        <v>237</v>
      </c>
      <c r="F55" s="9">
        <v>13300</v>
      </c>
      <c r="G55" s="13"/>
      <c r="H55" s="2"/>
    </row>
    <row r="56" spans="2:8" hidden="1" x14ac:dyDescent="0.25">
      <c r="B56" s="181"/>
      <c r="C56" s="183"/>
      <c r="D56" s="10" t="s">
        <v>236</v>
      </c>
      <c r="E56" s="10" t="s">
        <v>234</v>
      </c>
      <c r="F56" s="9">
        <v>30000</v>
      </c>
      <c r="G56" s="13"/>
      <c r="H56" s="2"/>
    </row>
    <row r="57" spans="2:8" hidden="1" x14ac:dyDescent="0.25">
      <c r="B57" s="181"/>
      <c r="C57" s="183"/>
      <c r="D57" s="10" t="s">
        <v>238</v>
      </c>
      <c r="E57" s="10" t="s">
        <v>237</v>
      </c>
      <c r="F57" s="9">
        <v>12700</v>
      </c>
      <c r="G57" s="13"/>
      <c r="H57" s="2"/>
    </row>
    <row r="58" spans="2:8" hidden="1" x14ac:dyDescent="0.25">
      <c r="B58" s="181"/>
      <c r="C58" s="183"/>
      <c r="D58" s="10" t="s">
        <v>238</v>
      </c>
      <c r="E58" s="10" t="s">
        <v>234</v>
      </c>
      <c r="F58" s="9">
        <v>26500</v>
      </c>
      <c r="G58" s="13"/>
      <c r="H58" s="2"/>
    </row>
    <row r="59" spans="2:8" hidden="1" x14ac:dyDescent="0.25">
      <c r="B59" s="181"/>
      <c r="C59" s="183"/>
      <c r="D59" s="10" t="s">
        <v>238</v>
      </c>
      <c r="E59" s="10" t="s">
        <v>228</v>
      </c>
      <c r="F59" s="9">
        <v>41000</v>
      </c>
      <c r="G59" s="13"/>
      <c r="H59" s="2"/>
    </row>
    <row r="60" spans="2:8" ht="18.75" hidden="1" x14ac:dyDescent="0.25">
      <c r="B60" s="181"/>
      <c r="C60" s="67" t="s">
        <v>244</v>
      </c>
      <c r="D60" s="10" t="s">
        <v>239</v>
      </c>
      <c r="E60" s="10" t="s">
        <v>237</v>
      </c>
      <c r="F60" s="9">
        <v>13000</v>
      </c>
      <c r="G60" s="13"/>
      <c r="H60" s="2"/>
    </row>
    <row r="61" spans="2:8" x14ac:dyDescent="0.25">
      <c r="B61" s="71"/>
      <c r="C61" s="71"/>
      <c r="D61" s="14"/>
      <c r="E61" s="14"/>
      <c r="F61" s="14"/>
    </row>
    <row r="62" spans="2:8" ht="23.25" x14ac:dyDescent="0.25">
      <c r="B62" s="72" t="s">
        <v>496</v>
      </c>
      <c r="C62" s="68" t="s">
        <v>4</v>
      </c>
      <c r="D62" s="5" t="s">
        <v>497</v>
      </c>
      <c r="E62" s="5" t="s">
        <v>11</v>
      </c>
      <c r="F62" s="73">
        <v>20000</v>
      </c>
      <c r="G62" s="66">
        <v>23000</v>
      </c>
      <c r="H62" s="2"/>
    </row>
  </sheetData>
  <mergeCells count="18">
    <mergeCell ref="C55:C59"/>
    <mergeCell ref="B34:B60"/>
    <mergeCell ref="C34:C39"/>
    <mergeCell ref="B3:B8"/>
    <mergeCell ref="C3:C8"/>
    <mergeCell ref="B10:B16"/>
    <mergeCell ref="C10:C12"/>
    <mergeCell ref="C13:C16"/>
    <mergeCell ref="B18:B19"/>
    <mergeCell ref="C40:C45"/>
    <mergeCell ref="C46:C50"/>
    <mergeCell ref="C51:C54"/>
    <mergeCell ref="B29:B32"/>
    <mergeCell ref="C29:C32"/>
    <mergeCell ref="B21:B23"/>
    <mergeCell ref="C21:C23"/>
    <mergeCell ref="B24:B25"/>
    <mergeCell ref="C24:C25"/>
  </mergeCells>
  <pageMargins left="1" right="1" top="1" bottom="1" header="0.5" footer="0.5"/>
  <pageSetup scale="46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5"/>
  <sheetViews>
    <sheetView zoomScale="93" zoomScaleNormal="93" workbookViewId="0">
      <selection activeCell="G7" sqref="G7"/>
    </sheetView>
  </sheetViews>
  <sheetFormatPr baseColWidth="10" defaultColWidth="11.42578125" defaultRowHeight="15" x14ac:dyDescent="0.25"/>
  <cols>
    <col min="2" max="2" width="16.7109375" bestFit="1" customWidth="1"/>
    <col min="3" max="3" width="12.5703125" bestFit="1" customWidth="1"/>
    <col min="4" max="4" width="20.140625" bestFit="1" customWidth="1"/>
    <col min="5" max="5" width="12.85546875" bestFit="1" customWidth="1"/>
    <col min="6" max="6" width="13.5703125" bestFit="1" customWidth="1"/>
    <col min="7" max="7" width="22.140625" bestFit="1" customWidth="1"/>
    <col min="8" max="8" width="27.140625" bestFit="1" customWidth="1"/>
  </cols>
  <sheetData>
    <row r="1" spans="2:8" ht="15.75" customHeight="1" x14ac:dyDescent="0.25"/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4" t="s">
        <v>250</v>
      </c>
      <c r="H2" s="25" t="s">
        <v>251</v>
      </c>
    </row>
    <row r="3" spans="2:8" ht="18" customHeight="1" x14ac:dyDescent="0.25">
      <c r="B3" s="181" t="s">
        <v>29</v>
      </c>
      <c r="C3" s="183" t="s">
        <v>4</v>
      </c>
      <c r="D3" s="5" t="s">
        <v>30</v>
      </c>
      <c r="E3" s="5" t="s">
        <v>3</v>
      </c>
      <c r="F3" s="6">
        <v>13500</v>
      </c>
      <c r="G3" s="2"/>
      <c r="H3" s="2"/>
    </row>
    <row r="4" spans="2:8" x14ac:dyDescent="0.25">
      <c r="B4" s="181"/>
      <c r="C4" s="183"/>
      <c r="D4" s="5" t="s">
        <v>31</v>
      </c>
      <c r="E4" s="5" t="s">
        <v>3</v>
      </c>
      <c r="F4" s="6">
        <v>13000</v>
      </c>
      <c r="G4" s="2"/>
      <c r="H4" s="2"/>
    </row>
    <row r="5" spans="2:8" x14ac:dyDescent="0.25">
      <c r="B5" s="181"/>
      <c r="C5" s="183"/>
      <c r="D5" s="5" t="s">
        <v>32</v>
      </c>
      <c r="E5" s="5" t="s">
        <v>3</v>
      </c>
      <c r="F5" s="6">
        <v>12400</v>
      </c>
      <c r="G5" s="2"/>
      <c r="H5" s="2"/>
    </row>
    <row r="6" spans="2:8" x14ac:dyDescent="0.25">
      <c r="B6" s="181"/>
      <c r="C6" s="183"/>
      <c r="D6" s="5" t="s">
        <v>32</v>
      </c>
      <c r="E6" s="5" t="s">
        <v>21</v>
      </c>
      <c r="F6" s="6">
        <v>20700</v>
      </c>
      <c r="G6" s="2"/>
      <c r="H6" s="2"/>
    </row>
    <row r="7" spans="2:8" x14ac:dyDescent="0.25">
      <c r="B7" s="181"/>
      <c r="C7" s="183"/>
      <c r="D7" s="5" t="s">
        <v>32</v>
      </c>
      <c r="E7" s="5" t="s">
        <v>11</v>
      </c>
      <c r="F7" s="6">
        <v>27700</v>
      </c>
      <c r="G7" s="2"/>
      <c r="H7" s="2"/>
    </row>
    <row r="8" spans="2:8" x14ac:dyDescent="0.25">
      <c r="B8" s="181"/>
      <c r="C8" s="183"/>
      <c r="D8" s="5" t="s">
        <v>33</v>
      </c>
      <c r="E8" s="5" t="s">
        <v>19</v>
      </c>
      <c r="F8" s="6">
        <v>14000</v>
      </c>
      <c r="G8" s="2"/>
      <c r="H8" s="2"/>
    </row>
    <row r="9" spans="2:8" x14ac:dyDescent="0.25">
      <c r="B9" s="181"/>
      <c r="C9" s="183"/>
      <c r="D9" s="5" t="s">
        <v>33</v>
      </c>
      <c r="E9" s="5" t="s">
        <v>34</v>
      </c>
      <c r="F9" s="6">
        <v>28700</v>
      </c>
      <c r="G9" s="2">
        <v>27500</v>
      </c>
      <c r="H9" s="2"/>
    </row>
    <row r="10" spans="2:8" ht="18.75" x14ac:dyDescent="0.25">
      <c r="B10" s="181"/>
      <c r="C10" s="4" t="s">
        <v>1</v>
      </c>
      <c r="D10" s="5" t="s">
        <v>35</v>
      </c>
      <c r="E10" s="5" t="s">
        <v>3</v>
      </c>
      <c r="F10" s="6">
        <v>14000</v>
      </c>
      <c r="G10" s="2"/>
      <c r="H10" s="2"/>
    </row>
    <row r="11" spans="2:8" x14ac:dyDescent="0.25">
      <c r="B11" s="21"/>
    </row>
    <row r="12" spans="2:8" ht="18.75" customHeight="1" x14ac:dyDescent="0.25">
      <c r="B12" s="3" t="s">
        <v>17</v>
      </c>
      <c r="C12" s="4" t="s">
        <v>1</v>
      </c>
      <c r="D12" s="8" t="s">
        <v>18</v>
      </c>
      <c r="E12" s="8" t="s">
        <v>19</v>
      </c>
      <c r="F12" s="6">
        <v>11500</v>
      </c>
      <c r="G12" s="2"/>
      <c r="H12" s="2"/>
    </row>
    <row r="14" spans="2:8" ht="18.75" x14ac:dyDescent="0.25">
      <c r="B14" s="181" t="s">
        <v>0</v>
      </c>
      <c r="C14" s="4" t="s">
        <v>1</v>
      </c>
      <c r="D14" s="10" t="s">
        <v>2</v>
      </c>
      <c r="E14" s="10" t="s">
        <v>3</v>
      </c>
      <c r="F14" s="9">
        <v>13000</v>
      </c>
      <c r="G14" s="2"/>
      <c r="H14" s="2"/>
    </row>
    <row r="15" spans="2:8" ht="18.75" x14ac:dyDescent="0.25">
      <c r="B15" s="181"/>
      <c r="C15" s="4" t="s">
        <v>4</v>
      </c>
      <c r="D15" s="10" t="s">
        <v>470</v>
      </c>
      <c r="E15" s="10" t="s">
        <v>3</v>
      </c>
      <c r="F15" s="9">
        <v>13000</v>
      </c>
      <c r="G15" s="2"/>
      <c r="H15" s="2"/>
    </row>
  </sheetData>
  <mergeCells count="3">
    <mergeCell ref="B14:B15"/>
    <mergeCell ref="B3:B10"/>
    <mergeCell ref="C3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zoomScale="95" zoomScaleNormal="95" workbookViewId="0">
      <selection activeCell="B3" sqref="B3:F14"/>
    </sheetView>
  </sheetViews>
  <sheetFormatPr baseColWidth="10" defaultColWidth="9.140625" defaultRowHeight="15" x14ac:dyDescent="0.25"/>
  <cols>
    <col min="2" max="2" width="23.42578125" bestFit="1" customWidth="1"/>
    <col min="3" max="3" width="12.5703125" bestFit="1" customWidth="1"/>
    <col min="4" max="4" width="37.140625" bestFit="1" customWidth="1"/>
    <col min="5" max="5" width="12.85546875" bestFit="1" customWidth="1"/>
    <col min="6" max="6" width="13.5703125" bestFit="1" customWidth="1"/>
    <col min="7" max="7" width="22.140625" bestFit="1" customWidth="1"/>
    <col min="8" max="8" width="27.140625" bestFit="1" customWidth="1"/>
  </cols>
  <sheetData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0" t="s">
        <v>597</v>
      </c>
      <c r="H2" s="19" t="s">
        <v>251</v>
      </c>
    </row>
    <row r="3" spans="2:8" ht="15" customHeight="1" x14ac:dyDescent="0.25">
      <c r="B3" s="187" t="s">
        <v>9</v>
      </c>
      <c r="C3" s="190"/>
      <c r="D3" s="5" t="s">
        <v>10</v>
      </c>
      <c r="E3" s="5" t="s">
        <v>11</v>
      </c>
      <c r="F3" s="6">
        <v>26500</v>
      </c>
      <c r="G3" s="2"/>
      <c r="H3" s="2"/>
    </row>
    <row r="4" spans="2:8" ht="15" customHeight="1" x14ac:dyDescent="0.25">
      <c r="B4" s="188"/>
      <c r="C4" s="191"/>
      <c r="D4" s="5" t="s">
        <v>12</v>
      </c>
      <c r="E4" s="5" t="s">
        <v>11</v>
      </c>
      <c r="F4" s="6">
        <v>27500</v>
      </c>
      <c r="G4" s="2">
        <v>26500</v>
      </c>
      <c r="H4" s="2"/>
    </row>
    <row r="6" spans="2:8" ht="26.25" x14ac:dyDescent="0.25">
      <c r="B6" s="26" t="s">
        <v>27</v>
      </c>
      <c r="C6" s="7" t="s">
        <v>28</v>
      </c>
      <c r="D6" s="5" t="s">
        <v>254</v>
      </c>
      <c r="E6" s="5" t="s">
        <v>11</v>
      </c>
      <c r="F6" s="6">
        <v>21000</v>
      </c>
      <c r="G6" s="2"/>
      <c r="H6" s="2"/>
    </row>
    <row r="8" spans="2:8" x14ac:dyDescent="0.25">
      <c r="B8" s="186" t="s">
        <v>65</v>
      </c>
      <c r="C8" s="189" t="s">
        <v>4</v>
      </c>
      <c r="D8" s="5" t="s">
        <v>66</v>
      </c>
      <c r="E8" s="5" t="s">
        <v>21</v>
      </c>
      <c r="F8" s="6">
        <v>26500</v>
      </c>
      <c r="G8" s="2"/>
      <c r="H8" s="2"/>
    </row>
    <row r="9" spans="2:8" x14ac:dyDescent="0.25">
      <c r="B9" s="187"/>
      <c r="C9" s="190"/>
      <c r="D9" s="5" t="s">
        <v>69</v>
      </c>
      <c r="E9" s="5" t="s">
        <v>21</v>
      </c>
      <c r="F9" s="6">
        <v>25500</v>
      </c>
      <c r="G9" s="2"/>
      <c r="H9" s="2"/>
    </row>
    <row r="10" spans="2:8" x14ac:dyDescent="0.25">
      <c r="B10" s="187"/>
      <c r="C10" s="190"/>
      <c r="D10" s="5" t="s">
        <v>70</v>
      </c>
      <c r="E10" s="5" t="s">
        <v>21</v>
      </c>
      <c r="F10" s="6">
        <v>26500</v>
      </c>
      <c r="G10" s="2"/>
      <c r="H10" s="2"/>
    </row>
    <row r="11" spans="2:8" x14ac:dyDescent="0.25">
      <c r="B11" s="187"/>
      <c r="C11" s="190"/>
      <c r="D11" s="5" t="s">
        <v>71</v>
      </c>
      <c r="E11" s="5" t="s">
        <v>21</v>
      </c>
      <c r="F11" s="6">
        <v>26500</v>
      </c>
      <c r="G11" s="2"/>
      <c r="H11" s="2"/>
    </row>
    <row r="12" spans="2:8" x14ac:dyDescent="0.25">
      <c r="B12" s="188"/>
      <c r="C12" s="191"/>
      <c r="D12" s="5" t="s">
        <v>71</v>
      </c>
      <c r="E12" s="5" t="s">
        <v>67</v>
      </c>
      <c r="F12" s="6">
        <v>28500</v>
      </c>
      <c r="G12" s="2" t="s">
        <v>68</v>
      </c>
      <c r="H12" s="2"/>
    </row>
    <row r="13" spans="2:8" x14ac:dyDescent="0.25">
      <c r="B13" s="181" t="s">
        <v>72</v>
      </c>
      <c r="C13" s="183" t="s">
        <v>1</v>
      </c>
      <c r="D13" s="5" t="s">
        <v>73</v>
      </c>
      <c r="E13" s="5" t="s">
        <v>8</v>
      </c>
      <c r="F13" s="6">
        <v>38000</v>
      </c>
      <c r="G13" s="2"/>
      <c r="H13" s="2"/>
    </row>
    <row r="14" spans="2:8" x14ac:dyDescent="0.25">
      <c r="B14" s="181"/>
      <c r="C14" s="183"/>
      <c r="D14" s="5" t="s">
        <v>74</v>
      </c>
      <c r="E14" s="5" t="s">
        <v>8</v>
      </c>
      <c r="F14" s="6">
        <v>38000</v>
      </c>
      <c r="G14" s="2"/>
      <c r="H14" s="2"/>
    </row>
    <row r="19" spans="4:6" x14ac:dyDescent="0.25">
      <c r="D19" s="5"/>
      <c r="E19" s="5"/>
      <c r="F19" s="6"/>
    </row>
    <row r="20" spans="4:6" x14ac:dyDescent="0.25">
      <c r="D20" s="5"/>
      <c r="E20" s="5"/>
      <c r="F20" s="6"/>
    </row>
    <row r="21" spans="4:6" x14ac:dyDescent="0.25">
      <c r="D21" s="5"/>
      <c r="E21" s="5"/>
      <c r="F21" s="6"/>
    </row>
    <row r="22" spans="4:6" x14ac:dyDescent="0.25">
      <c r="D22" s="5"/>
      <c r="E22" s="5"/>
      <c r="F22" s="6"/>
    </row>
    <row r="23" spans="4:6" x14ac:dyDescent="0.25">
      <c r="D23" s="5"/>
      <c r="E23" s="5"/>
      <c r="F23" s="6"/>
    </row>
    <row r="24" spans="4:6" x14ac:dyDescent="0.25">
      <c r="D24" s="5"/>
      <c r="E24" s="5"/>
      <c r="F24" s="6"/>
    </row>
    <row r="25" spans="4:6" x14ac:dyDescent="0.25">
      <c r="D25" s="5"/>
      <c r="E25" s="5"/>
      <c r="F25" s="6"/>
    </row>
    <row r="26" spans="4:6" x14ac:dyDescent="0.25">
      <c r="D26" s="5"/>
      <c r="E26" s="5"/>
      <c r="F26" s="6"/>
    </row>
    <row r="27" spans="4:6" x14ac:dyDescent="0.25">
      <c r="D27" s="5"/>
      <c r="E27" s="5"/>
      <c r="F27" s="6"/>
    </row>
    <row r="28" spans="4:6" x14ac:dyDescent="0.25">
      <c r="D28" s="8"/>
      <c r="E28" s="8"/>
      <c r="F28" s="6"/>
    </row>
    <row r="29" spans="4:6" x14ac:dyDescent="0.25">
      <c r="D29" s="5"/>
      <c r="E29" s="5"/>
      <c r="F29" s="6"/>
    </row>
    <row r="30" spans="4:6" x14ac:dyDescent="0.25">
      <c r="D30" s="8"/>
      <c r="E30" s="8"/>
      <c r="F30" s="6"/>
    </row>
  </sheetData>
  <mergeCells count="6">
    <mergeCell ref="B8:B12"/>
    <mergeCell ref="C8:C12"/>
    <mergeCell ref="B13:B14"/>
    <mergeCell ref="C13:C14"/>
    <mergeCell ref="B3:B4"/>
    <mergeCell ref="C3:C4"/>
  </mergeCells>
  <pageMargins left="0.7" right="0.7" top="0.75" bottom="0.75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zoomScale="98" zoomScaleNormal="98" workbookViewId="0">
      <selection activeCell="G8" sqref="G8"/>
    </sheetView>
  </sheetViews>
  <sheetFormatPr baseColWidth="10" defaultColWidth="9.140625" defaultRowHeight="15" x14ac:dyDescent="0.25"/>
  <cols>
    <col min="2" max="2" width="18.85546875" bestFit="1" customWidth="1"/>
    <col min="3" max="3" width="12.5703125" bestFit="1" customWidth="1"/>
    <col min="4" max="4" width="30.42578125" bestFit="1" customWidth="1"/>
    <col min="5" max="5" width="12.85546875" bestFit="1" customWidth="1"/>
    <col min="6" max="6" width="13.5703125" bestFit="1" customWidth="1"/>
    <col min="7" max="7" width="22.140625" bestFit="1" customWidth="1"/>
    <col min="8" max="8" width="27.140625" bestFit="1" customWidth="1"/>
  </cols>
  <sheetData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4"/>
      <c r="H2" s="25"/>
    </row>
    <row r="3" spans="2:8" ht="26.25" x14ac:dyDescent="0.25">
      <c r="B3" s="136" t="s">
        <v>7</v>
      </c>
      <c r="C3" s="137" t="s">
        <v>1</v>
      </c>
      <c r="D3" s="8" t="s">
        <v>6</v>
      </c>
      <c r="E3" s="8" t="s">
        <v>8</v>
      </c>
      <c r="F3" s="6">
        <v>21500</v>
      </c>
      <c r="G3" s="10"/>
      <c r="H3" s="10"/>
    </row>
    <row r="4" spans="2:8" x14ac:dyDescent="0.25">
      <c r="B4" s="14"/>
      <c r="C4" s="14"/>
      <c r="D4" s="14"/>
      <c r="E4" s="14"/>
      <c r="F4" s="14"/>
      <c r="G4" s="14"/>
      <c r="H4" s="14"/>
    </row>
    <row r="5" spans="2:8" ht="26.25" x14ac:dyDescent="0.25">
      <c r="B5" s="136" t="s">
        <v>5</v>
      </c>
      <c r="C5" s="31" t="s">
        <v>1</v>
      </c>
      <c r="D5" s="8" t="s">
        <v>6</v>
      </c>
      <c r="E5" s="8" t="s">
        <v>3</v>
      </c>
      <c r="F5" s="6">
        <v>17000</v>
      </c>
      <c r="G5" s="10"/>
      <c r="H5" s="10"/>
    </row>
    <row r="6" spans="2:8" x14ac:dyDescent="0.25">
      <c r="B6" s="1"/>
      <c r="C6" s="1"/>
      <c r="D6" s="1"/>
      <c r="E6" s="1"/>
      <c r="F6" s="1"/>
    </row>
    <row r="7" spans="2:8" ht="26.25" x14ac:dyDescent="0.25">
      <c r="B7" s="136" t="s">
        <v>255</v>
      </c>
      <c r="C7" s="137" t="s">
        <v>4</v>
      </c>
      <c r="D7" s="8" t="s">
        <v>279</v>
      </c>
      <c r="E7" s="74" t="s">
        <v>3</v>
      </c>
      <c r="F7" s="6">
        <v>7900</v>
      </c>
      <c r="G7" s="13">
        <v>10000</v>
      </c>
      <c r="H7" s="13"/>
    </row>
    <row r="8" spans="2:8" ht="26.25" x14ac:dyDescent="0.25">
      <c r="B8" s="136" t="s">
        <v>255</v>
      </c>
      <c r="C8" s="137" t="s">
        <v>4</v>
      </c>
      <c r="D8" s="8" t="s">
        <v>279</v>
      </c>
      <c r="E8" s="8" t="s">
        <v>11</v>
      </c>
      <c r="F8" s="75">
        <v>18500</v>
      </c>
      <c r="G8" s="76"/>
      <c r="H8" s="76"/>
    </row>
    <row r="10" spans="2:8" ht="15" customHeight="1" x14ac:dyDescent="0.25">
      <c r="B10" s="186" t="s">
        <v>75</v>
      </c>
      <c r="C10" s="189" t="s">
        <v>4</v>
      </c>
      <c r="D10" s="5" t="s">
        <v>76</v>
      </c>
      <c r="E10" s="5" t="s">
        <v>41</v>
      </c>
      <c r="F10" s="6">
        <v>21000</v>
      </c>
      <c r="G10" s="2"/>
      <c r="H10" s="2"/>
    </row>
    <row r="11" spans="2:8" ht="15" customHeight="1" x14ac:dyDescent="0.25">
      <c r="B11" s="187"/>
      <c r="C11" s="190"/>
      <c r="D11" s="5" t="s">
        <v>77</v>
      </c>
      <c r="E11" s="5" t="s">
        <v>34</v>
      </c>
      <c r="F11" s="6">
        <v>28500</v>
      </c>
      <c r="G11" s="2"/>
      <c r="H11" s="2"/>
    </row>
    <row r="12" spans="2:8" ht="15" customHeight="1" x14ac:dyDescent="0.25">
      <c r="B12" s="187"/>
      <c r="C12" s="190"/>
      <c r="D12" s="5" t="s">
        <v>77</v>
      </c>
      <c r="E12" s="5" t="s">
        <v>584</v>
      </c>
      <c r="F12" s="6">
        <v>13700</v>
      </c>
      <c r="G12" s="13">
        <v>14500</v>
      </c>
      <c r="H12" s="2"/>
    </row>
    <row r="13" spans="2:8" ht="15" customHeight="1" x14ac:dyDescent="0.25">
      <c r="B13" s="187"/>
      <c r="C13" s="190"/>
      <c r="D13" s="5" t="s">
        <v>78</v>
      </c>
      <c r="E13" s="5" t="s">
        <v>8</v>
      </c>
      <c r="F13" s="6">
        <v>30000</v>
      </c>
      <c r="G13" s="2"/>
      <c r="H13" s="2"/>
    </row>
    <row r="14" spans="2:8" ht="15" customHeight="1" x14ac:dyDescent="0.25">
      <c r="B14" s="187"/>
      <c r="C14" s="190"/>
      <c r="D14" s="5" t="s">
        <v>79</v>
      </c>
      <c r="E14" s="5" t="s">
        <v>80</v>
      </c>
      <c r="F14" s="6">
        <v>34000</v>
      </c>
      <c r="G14" s="2"/>
      <c r="H14" s="2"/>
    </row>
    <row r="15" spans="2:8" ht="15" customHeight="1" x14ac:dyDescent="0.25">
      <c r="B15" s="188"/>
      <c r="C15" s="191"/>
      <c r="D15" s="5" t="s">
        <v>81</v>
      </c>
      <c r="E15" s="5" t="s">
        <v>3</v>
      </c>
      <c r="F15" s="6">
        <v>15000</v>
      </c>
      <c r="G15" s="2"/>
      <c r="H15" s="2"/>
    </row>
    <row r="16" spans="2:8" ht="26.25" x14ac:dyDescent="0.25">
      <c r="B16" s="43"/>
      <c r="C16" s="44"/>
      <c r="D16" s="11"/>
      <c r="E16" s="11"/>
      <c r="F16" s="16"/>
      <c r="G16" s="45"/>
      <c r="H16" s="45"/>
    </row>
    <row r="17" spans="2:8" ht="26.25" x14ac:dyDescent="0.25">
      <c r="B17" s="136" t="s">
        <v>358</v>
      </c>
      <c r="C17" s="137" t="s">
        <v>4</v>
      </c>
      <c r="D17" s="5" t="s">
        <v>359</v>
      </c>
      <c r="E17" s="5" t="s">
        <v>21</v>
      </c>
      <c r="F17" s="6">
        <v>30000</v>
      </c>
      <c r="G17" s="2"/>
      <c r="H17" s="2"/>
    </row>
    <row r="19" spans="2:8" ht="18.75" customHeight="1" x14ac:dyDescent="0.25">
      <c r="B19" s="136" t="s">
        <v>20</v>
      </c>
      <c r="C19" s="137" t="s">
        <v>4</v>
      </c>
      <c r="D19" s="8" t="s">
        <v>6</v>
      </c>
      <c r="E19" s="8" t="s">
        <v>8</v>
      </c>
      <c r="F19" s="6">
        <v>22000</v>
      </c>
      <c r="G19" s="10"/>
      <c r="H19" s="10"/>
    </row>
  </sheetData>
  <mergeCells count="2">
    <mergeCell ref="C10:C15"/>
    <mergeCell ref="B10:B15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6"/>
  <sheetViews>
    <sheetView topLeftCell="A13" zoomScaleNormal="100" workbookViewId="0">
      <selection activeCell="G10" sqref="G10"/>
    </sheetView>
  </sheetViews>
  <sheetFormatPr baseColWidth="10" defaultColWidth="9.140625" defaultRowHeight="15" x14ac:dyDescent="0.25"/>
  <cols>
    <col min="2" max="2" width="19.85546875" bestFit="1" customWidth="1"/>
    <col min="3" max="3" width="12.5703125" bestFit="1" customWidth="1"/>
    <col min="4" max="4" width="33.28515625" bestFit="1" customWidth="1"/>
    <col min="5" max="5" width="12.85546875" customWidth="1"/>
    <col min="6" max="6" width="11.85546875" bestFit="1" customWidth="1"/>
    <col min="7" max="7" width="14.85546875" bestFit="1" customWidth="1"/>
    <col min="8" max="8" width="13.42578125" bestFit="1" customWidth="1"/>
  </cols>
  <sheetData>
    <row r="2" spans="2:7" ht="18.75" x14ac:dyDescent="0.3">
      <c r="B2" s="18" t="s">
        <v>192</v>
      </c>
      <c r="C2" s="18" t="s">
        <v>247</v>
      </c>
      <c r="D2" s="55">
        <v>45952</v>
      </c>
      <c r="E2" s="19" t="s">
        <v>193</v>
      </c>
      <c r="F2" s="90" t="s">
        <v>194</v>
      </c>
      <c r="G2" s="103"/>
    </row>
    <row r="3" spans="2:7" ht="26.25" x14ac:dyDescent="0.25">
      <c r="B3" s="130" t="s">
        <v>13</v>
      </c>
      <c r="C3" s="131" t="s">
        <v>4</v>
      </c>
      <c r="D3" s="8" t="s">
        <v>14</v>
      </c>
      <c r="E3" s="8" t="s">
        <v>11</v>
      </c>
      <c r="F3" s="6">
        <v>21500</v>
      </c>
      <c r="G3" s="16"/>
    </row>
    <row r="5" spans="2:7" ht="15" customHeight="1" x14ac:dyDescent="0.25">
      <c r="B5" s="186" t="s">
        <v>49</v>
      </c>
      <c r="C5" s="189" t="s">
        <v>4</v>
      </c>
      <c r="D5" s="5" t="s">
        <v>50</v>
      </c>
      <c r="E5" s="5" t="s">
        <v>21</v>
      </c>
      <c r="F5" s="6">
        <v>23800</v>
      </c>
      <c r="G5" s="6" t="s">
        <v>601</v>
      </c>
    </row>
    <row r="6" spans="2:7" ht="15" customHeight="1" x14ac:dyDescent="0.25">
      <c r="B6" s="187"/>
      <c r="C6" s="190"/>
      <c r="D6" s="5" t="s">
        <v>51</v>
      </c>
      <c r="E6" s="5" t="s">
        <v>21</v>
      </c>
      <c r="F6" s="6">
        <v>23800</v>
      </c>
      <c r="G6" s="16"/>
    </row>
    <row r="7" spans="2:7" ht="15" customHeight="1" x14ac:dyDescent="0.25">
      <c r="B7" s="187"/>
      <c r="C7" s="190"/>
      <c r="D7" s="5" t="s">
        <v>452</v>
      </c>
      <c r="E7" s="5" t="s">
        <v>21</v>
      </c>
      <c r="F7" s="6">
        <v>23800</v>
      </c>
      <c r="G7" s="16"/>
    </row>
    <row r="8" spans="2:7" ht="15" customHeight="1" x14ac:dyDescent="0.25">
      <c r="B8" s="187"/>
      <c r="C8" s="191"/>
      <c r="D8" s="5" t="s">
        <v>52</v>
      </c>
      <c r="E8" s="5" t="s">
        <v>21</v>
      </c>
      <c r="F8" s="6">
        <v>23800</v>
      </c>
      <c r="G8" s="16"/>
    </row>
    <row r="9" spans="2:7" ht="15" customHeight="1" x14ac:dyDescent="0.25">
      <c r="B9" s="187"/>
      <c r="C9" s="189" t="s">
        <v>1</v>
      </c>
      <c r="D9" s="5" t="s">
        <v>53</v>
      </c>
      <c r="E9" s="5" t="s">
        <v>8</v>
      </c>
      <c r="F9" s="6">
        <v>35000</v>
      </c>
      <c r="G9" s="16"/>
    </row>
    <row r="10" spans="2:7" ht="15" customHeight="1" x14ac:dyDescent="0.25">
      <c r="B10" s="188"/>
      <c r="C10" s="191"/>
      <c r="D10" s="8" t="s">
        <v>54</v>
      </c>
      <c r="E10" s="8" t="s">
        <v>8</v>
      </c>
      <c r="F10" s="6">
        <v>35000</v>
      </c>
      <c r="G10" s="16"/>
    </row>
    <row r="12" spans="2:7" ht="15" customHeight="1" x14ac:dyDescent="0.25">
      <c r="B12" s="186" t="s">
        <v>22</v>
      </c>
      <c r="C12" s="189" t="s">
        <v>1</v>
      </c>
      <c r="D12" s="5" t="s">
        <v>23</v>
      </c>
      <c r="E12" s="5" t="s">
        <v>24</v>
      </c>
      <c r="F12" s="6">
        <v>13000</v>
      </c>
      <c r="G12" s="16"/>
    </row>
    <row r="13" spans="2:7" ht="15" customHeight="1" x14ac:dyDescent="0.25">
      <c r="B13" s="188"/>
      <c r="C13" s="191"/>
      <c r="D13" s="5" t="s">
        <v>23</v>
      </c>
      <c r="E13" s="5" t="s">
        <v>8</v>
      </c>
      <c r="F13" s="6">
        <v>26500</v>
      </c>
      <c r="G13" s="16"/>
    </row>
    <row r="14" spans="2:7" ht="26.25" x14ac:dyDescent="0.25">
      <c r="B14" s="130" t="s">
        <v>25</v>
      </c>
      <c r="C14" s="131" t="s">
        <v>4</v>
      </c>
      <c r="D14" s="8" t="s">
        <v>451</v>
      </c>
      <c r="E14" s="8" t="s">
        <v>11</v>
      </c>
      <c r="F14" s="6">
        <v>24500</v>
      </c>
      <c r="G14" s="16"/>
    </row>
    <row r="16" spans="2:7" ht="15" customHeight="1" x14ac:dyDescent="0.25">
      <c r="B16" s="194" t="s">
        <v>435</v>
      </c>
      <c r="C16" s="200" t="s">
        <v>4</v>
      </c>
      <c r="D16" s="151" t="s">
        <v>6</v>
      </c>
      <c r="E16" s="27" t="s">
        <v>19</v>
      </c>
      <c r="F16" s="148">
        <v>16500</v>
      </c>
      <c r="G16" s="63"/>
    </row>
    <row r="17" spans="2:8" ht="15" customHeight="1" x14ac:dyDescent="0.25">
      <c r="B17" s="195"/>
      <c r="C17" s="201"/>
      <c r="D17" s="5" t="s">
        <v>6</v>
      </c>
      <c r="E17" s="5" t="s">
        <v>21</v>
      </c>
      <c r="F17" s="13">
        <v>28000</v>
      </c>
      <c r="G17" s="63"/>
    </row>
    <row r="18" spans="2:8" ht="15" customHeight="1" x14ac:dyDescent="0.25">
      <c r="B18" s="195"/>
      <c r="C18" s="201"/>
      <c r="D18" s="5" t="s">
        <v>436</v>
      </c>
      <c r="E18" s="5" t="s">
        <v>19</v>
      </c>
      <c r="F18" s="13">
        <v>17000</v>
      </c>
      <c r="G18" s="63"/>
    </row>
    <row r="19" spans="2:8" ht="15" customHeight="1" x14ac:dyDescent="0.25">
      <c r="B19" s="195"/>
      <c r="C19" s="202"/>
      <c r="D19" s="5" t="s">
        <v>38</v>
      </c>
      <c r="E19" s="5" t="s">
        <v>19</v>
      </c>
      <c r="F19" s="13">
        <v>17000</v>
      </c>
      <c r="G19" s="63"/>
    </row>
    <row r="20" spans="2:8" ht="18.75" customHeight="1" x14ac:dyDescent="0.3">
      <c r="B20" s="196"/>
      <c r="C20" s="50" t="s">
        <v>1</v>
      </c>
      <c r="D20" s="5" t="s">
        <v>1</v>
      </c>
      <c r="E20" s="5" t="s">
        <v>19</v>
      </c>
      <c r="F20" s="13">
        <v>17600</v>
      </c>
      <c r="G20" s="63"/>
    </row>
    <row r="21" spans="2:8" x14ac:dyDescent="0.25">
      <c r="F21" s="12"/>
      <c r="G21" s="12"/>
    </row>
    <row r="22" spans="2:8" x14ac:dyDescent="0.25">
      <c r="B22" s="192" t="s">
        <v>49</v>
      </c>
      <c r="C22" s="192"/>
      <c r="D22" s="192"/>
      <c r="E22" s="193"/>
      <c r="F22" s="13" t="s">
        <v>578</v>
      </c>
      <c r="G22" s="63"/>
      <c r="H22" s="2" t="s">
        <v>498</v>
      </c>
    </row>
    <row r="23" spans="2:8" ht="15" customHeight="1" x14ac:dyDescent="0.25">
      <c r="B23" s="197" t="s">
        <v>479</v>
      </c>
      <c r="C23" s="2" t="s">
        <v>479</v>
      </c>
      <c r="D23" s="2" t="s">
        <v>481</v>
      </c>
      <c r="E23" s="104" t="s">
        <v>11</v>
      </c>
      <c r="F23" s="13">
        <v>15250</v>
      </c>
      <c r="G23" s="63"/>
      <c r="H23" s="13">
        <v>17500</v>
      </c>
    </row>
    <row r="24" spans="2:8" ht="15" customHeight="1" x14ac:dyDescent="0.25">
      <c r="B24" s="198"/>
      <c r="C24" s="2" t="s">
        <v>479</v>
      </c>
      <c r="D24" s="2" t="s">
        <v>482</v>
      </c>
      <c r="E24" s="104" t="s">
        <v>11</v>
      </c>
      <c r="F24" s="13">
        <v>15000</v>
      </c>
      <c r="G24" s="63"/>
      <c r="H24" s="13">
        <v>17000</v>
      </c>
    </row>
    <row r="25" spans="2:8" ht="15" customHeight="1" x14ac:dyDescent="0.25">
      <c r="B25" s="198"/>
      <c r="C25" s="2" t="s">
        <v>480</v>
      </c>
      <c r="D25" s="2" t="s">
        <v>483</v>
      </c>
      <c r="E25" s="104" t="s">
        <v>11</v>
      </c>
      <c r="F25" s="13">
        <v>17802</v>
      </c>
      <c r="G25" s="63"/>
      <c r="H25" s="13">
        <v>19800</v>
      </c>
    </row>
    <row r="26" spans="2:8" ht="15" customHeight="1" x14ac:dyDescent="0.25">
      <c r="B26" s="199"/>
      <c r="C26" s="2" t="s">
        <v>480</v>
      </c>
      <c r="D26" s="2" t="s">
        <v>484</v>
      </c>
      <c r="E26" s="104" t="s">
        <v>11</v>
      </c>
      <c r="F26" s="13">
        <v>17207</v>
      </c>
      <c r="G26" s="63"/>
      <c r="H26" s="13">
        <v>19500</v>
      </c>
    </row>
  </sheetData>
  <mergeCells count="9">
    <mergeCell ref="B22:E22"/>
    <mergeCell ref="B5:B10"/>
    <mergeCell ref="B16:B20"/>
    <mergeCell ref="B23:B26"/>
    <mergeCell ref="C5:C8"/>
    <mergeCell ref="C9:C10"/>
    <mergeCell ref="B12:B13"/>
    <mergeCell ref="C12:C13"/>
    <mergeCell ref="C16:C19"/>
  </mergeCells>
  <pageMargins left="1" right="1" top="1" bottom="1" header="0.5" footer="0.5"/>
  <pageSetup scale="65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7"/>
  <sheetViews>
    <sheetView view="pageBreakPreview" topLeftCell="A8" zoomScale="85" zoomScaleNormal="100" zoomScaleSheetLayoutView="85" workbookViewId="0">
      <selection activeCell="B3" sqref="B3:F37"/>
    </sheetView>
  </sheetViews>
  <sheetFormatPr baseColWidth="10" defaultColWidth="9.140625" defaultRowHeight="15" x14ac:dyDescent="0.25"/>
  <cols>
    <col min="2" max="2" width="27.28515625" bestFit="1" customWidth="1"/>
    <col min="3" max="3" width="12.5703125" bestFit="1" customWidth="1"/>
    <col min="4" max="4" width="30.140625" bestFit="1" customWidth="1"/>
    <col min="5" max="5" width="12.85546875" bestFit="1" customWidth="1"/>
    <col min="6" max="6" width="13.5703125" bestFit="1" customWidth="1"/>
    <col min="7" max="7" width="22.140625" bestFit="1" customWidth="1"/>
    <col min="8" max="8" width="27.140625" bestFit="1" customWidth="1"/>
    <col min="10" max="10" width="23.7109375" bestFit="1" customWidth="1"/>
    <col min="11" max="11" width="14.7109375" customWidth="1"/>
  </cols>
  <sheetData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0" t="s">
        <v>490</v>
      </c>
      <c r="H2" s="19" t="s">
        <v>251</v>
      </c>
    </row>
    <row r="3" spans="2:8" x14ac:dyDescent="0.25">
      <c r="B3" s="181" t="s">
        <v>103</v>
      </c>
      <c r="C3" s="183" t="s">
        <v>28</v>
      </c>
      <c r="D3" s="8" t="s">
        <v>104</v>
      </c>
      <c r="E3" s="8" t="s">
        <v>105</v>
      </c>
      <c r="F3" s="9">
        <v>29000</v>
      </c>
      <c r="G3" s="2"/>
      <c r="H3" s="2"/>
    </row>
    <row r="4" spans="2:8" x14ac:dyDescent="0.25">
      <c r="B4" s="181"/>
      <c r="C4" s="183"/>
      <c r="D4" s="8" t="s">
        <v>38</v>
      </c>
      <c r="E4" s="8" t="s">
        <v>8</v>
      </c>
      <c r="F4" s="9">
        <v>31500</v>
      </c>
      <c r="G4" s="2"/>
      <c r="H4" s="2"/>
    </row>
    <row r="6" spans="2:8" x14ac:dyDescent="0.25">
      <c r="B6" s="181" t="s">
        <v>82</v>
      </c>
      <c r="C6" s="183" t="s">
        <v>4</v>
      </c>
      <c r="D6" s="5" t="s">
        <v>83</v>
      </c>
      <c r="E6" s="5" t="s">
        <v>489</v>
      </c>
      <c r="F6" s="6">
        <v>27000</v>
      </c>
      <c r="G6" s="2"/>
      <c r="H6" s="2"/>
    </row>
    <row r="7" spans="2:8" x14ac:dyDescent="0.25">
      <c r="B7" s="181"/>
      <c r="C7" s="181"/>
      <c r="D7" s="5" t="s">
        <v>83</v>
      </c>
      <c r="E7" s="5" t="s">
        <v>21</v>
      </c>
      <c r="F7" s="6">
        <v>23000</v>
      </c>
      <c r="G7" s="2"/>
      <c r="H7" s="2"/>
    </row>
    <row r="8" spans="2:8" x14ac:dyDescent="0.25">
      <c r="B8" s="181"/>
      <c r="C8" s="181"/>
      <c r="D8" s="5" t="s">
        <v>83</v>
      </c>
      <c r="E8" s="5" t="s">
        <v>84</v>
      </c>
      <c r="F8" s="6">
        <v>2900</v>
      </c>
      <c r="G8" s="2"/>
      <c r="H8" s="2"/>
    </row>
    <row r="9" spans="2:8" x14ac:dyDescent="0.25">
      <c r="B9" s="181"/>
      <c r="C9" s="181"/>
      <c r="D9" s="60" t="s">
        <v>85</v>
      </c>
      <c r="E9" s="60" t="s">
        <v>67</v>
      </c>
      <c r="F9" s="61">
        <v>32000</v>
      </c>
      <c r="G9" s="2"/>
      <c r="H9" s="2"/>
    </row>
    <row r="10" spans="2:8" x14ac:dyDescent="0.25">
      <c r="B10" s="181"/>
      <c r="C10" s="181"/>
      <c r="D10" s="5" t="s">
        <v>85</v>
      </c>
      <c r="E10" s="5" t="s">
        <v>41</v>
      </c>
      <c r="F10" s="6">
        <v>24500</v>
      </c>
      <c r="G10" s="2"/>
      <c r="H10" s="2"/>
    </row>
    <row r="11" spans="2:8" x14ac:dyDescent="0.25">
      <c r="B11" s="181"/>
      <c r="C11" s="181"/>
      <c r="D11" s="5" t="s">
        <v>85</v>
      </c>
      <c r="E11" s="5" t="s">
        <v>24</v>
      </c>
      <c r="F11" s="6">
        <v>13500</v>
      </c>
      <c r="G11" s="2">
        <v>15000</v>
      </c>
      <c r="H11" s="2"/>
    </row>
    <row r="12" spans="2:8" x14ac:dyDescent="0.25">
      <c r="B12" s="181"/>
      <c r="C12" s="181"/>
      <c r="D12" s="5" t="s">
        <v>85</v>
      </c>
      <c r="E12" s="5" t="s">
        <v>84</v>
      </c>
      <c r="F12" s="6">
        <v>2900</v>
      </c>
      <c r="G12" s="2"/>
      <c r="H12" s="2"/>
    </row>
    <row r="13" spans="2:8" x14ac:dyDescent="0.25">
      <c r="B13" s="181"/>
      <c r="C13" s="181"/>
      <c r="D13" s="5" t="s">
        <v>86</v>
      </c>
      <c r="E13" s="5" t="s">
        <v>41</v>
      </c>
      <c r="F13" s="6">
        <v>23500</v>
      </c>
      <c r="G13" s="2"/>
      <c r="H13" s="2"/>
    </row>
    <row r="14" spans="2:8" x14ac:dyDescent="0.25">
      <c r="B14" s="181"/>
      <c r="C14" s="181"/>
      <c r="D14" s="5" t="s">
        <v>86</v>
      </c>
      <c r="E14" s="5" t="s">
        <v>24</v>
      </c>
      <c r="F14" s="6">
        <v>13500</v>
      </c>
      <c r="G14" s="2"/>
      <c r="H14" s="2"/>
    </row>
    <row r="15" spans="2:8" x14ac:dyDescent="0.25">
      <c r="B15" s="181"/>
      <c r="C15" s="181"/>
      <c r="D15" s="5" t="s">
        <v>86</v>
      </c>
      <c r="E15" s="5" t="s">
        <v>84</v>
      </c>
      <c r="F15" s="6">
        <v>2900</v>
      </c>
      <c r="G15" s="2"/>
      <c r="H15" s="2"/>
    </row>
    <row r="16" spans="2:8" x14ac:dyDescent="0.25">
      <c r="B16" s="181"/>
      <c r="C16" s="183" t="s">
        <v>1</v>
      </c>
      <c r="D16" s="5" t="s">
        <v>87</v>
      </c>
      <c r="E16" s="5" t="s">
        <v>41</v>
      </c>
      <c r="F16" s="6">
        <v>32000</v>
      </c>
      <c r="G16" s="2"/>
      <c r="H16" s="2"/>
    </row>
    <row r="17" spans="2:13" x14ac:dyDescent="0.25">
      <c r="B17" s="181"/>
      <c r="C17" s="183"/>
      <c r="D17" s="5" t="s">
        <v>87</v>
      </c>
      <c r="E17" s="5" t="s">
        <v>24</v>
      </c>
      <c r="F17" s="6">
        <v>18500</v>
      </c>
      <c r="G17" s="2" t="s">
        <v>442</v>
      </c>
      <c r="H17" s="2"/>
    </row>
    <row r="18" spans="2:13" x14ac:dyDescent="0.25">
      <c r="B18" s="181"/>
      <c r="C18" s="183"/>
      <c r="D18" s="5" t="s">
        <v>87</v>
      </c>
      <c r="E18" s="5" t="s">
        <v>88</v>
      </c>
      <c r="F18" s="6">
        <v>2800</v>
      </c>
      <c r="G18" s="2"/>
      <c r="H18" s="2"/>
    </row>
    <row r="19" spans="2:13" x14ac:dyDescent="0.25">
      <c r="B19" s="181"/>
      <c r="C19" s="183"/>
      <c r="D19" s="5" t="s">
        <v>89</v>
      </c>
      <c r="E19" s="5" t="s">
        <v>24</v>
      </c>
      <c r="F19" s="6">
        <v>18500</v>
      </c>
      <c r="G19" s="2" t="s">
        <v>442</v>
      </c>
      <c r="H19" s="2"/>
    </row>
    <row r="20" spans="2:13" x14ac:dyDescent="0.25">
      <c r="B20" s="181"/>
      <c r="C20" s="183"/>
      <c r="D20" s="5" t="s">
        <v>89</v>
      </c>
      <c r="E20" s="5" t="s">
        <v>88</v>
      </c>
      <c r="F20" s="6">
        <v>2800</v>
      </c>
      <c r="G20" s="2"/>
      <c r="H20" s="2"/>
    </row>
    <row r="21" spans="2:13" x14ac:dyDescent="0.25">
      <c r="B21" s="181"/>
      <c r="C21" s="183"/>
      <c r="D21" s="5" t="s">
        <v>90</v>
      </c>
      <c r="E21" s="5" t="s">
        <v>24</v>
      </c>
      <c r="F21" s="6">
        <v>19500</v>
      </c>
      <c r="G21" s="2" t="s">
        <v>442</v>
      </c>
      <c r="H21" s="2"/>
      <c r="J21">
        <f>26000+26000</f>
        <v>52000</v>
      </c>
    </row>
    <row r="22" spans="2:13" x14ac:dyDescent="0.25">
      <c r="B22" s="181"/>
      <c r="C22" s="183"/>
      <c r="D22" s="5" t="s">
        <v>90</v>
      </c>
      <c r="E22" s="5" t="s">
        <v>88</v>
      </c>
      <c r="F22" s="6">
        <v>2900</v>
      </c>
      <c r="G22" s="2"/>
      <c r="H22" s="2"/>
    </row>
    <row r="23" spans="2:13" ht="15" customHeight="1" x14ac:dyDescent="0.25">
      <c r="B23" s="203" t="s">
        <v>155</v>
      </c>
      <c r="C23" s="189" t="s">
        <v>4</v>
      </c>
      <c r="D23" s="10" t="s">
        <v>156</v>
      </c>
      <c r="E23" s="10" t="s">
        <v>67</v>
      </c>
      <c r="F23" s="9">
        <v>33000</v>
      </c>
      <c r="G23" s="2"/>
      <c r="H23" s="2" t="s">
        <v>662</v>
      </c>
      <c r="J23" s="10" t="s">
        <v>156</v>
      </c>
      <c r="K23" s="10" t="s">
        <v>67</v>
      </c>
      <c r="L23" s="9">
        <v>33000</v>
      </c>
      <c r="M23" s="2" t="s">
        <v>585</v>
      </c>
    </row>
    <row r="24" spans="2:13" ht="15" customHeight="1" x14ac:dyDescent="0.25">
      <c r="B24" s="204"/>
      <c r="C24" s="190"/>
      <c r="D24" s="10" t="s">
        <v>83</v>
      </c>
      <c r="E24" s="10" t="s">
        <v>47</v>
      </c>
      <c r="F24" s="9">
        <v>6500</v>
      </c>
      <c r="G24" s="2"/>
      <c r="H24" s="2"/>
      <c r="J24" s="10" t="s">
        <v>157</v>
      </c>
      <c r="K24" s="10" t="s">
        <v>67</v>
      </c>
      <c r="L24" s="9">
        <v>35000</v>
      </c>
      <c r="M24" s="2" t="s">
        <v>585</v>
      </c>
    </row>
    <row r="25" spans="2:13" ht="15" customHeight="1" x14ac:dyDescent="0.25">
      <c r="B25" s="204"/>
      <c r="C25" s="190"/>
      <c r="D25" s="10" t="s">
        <v>157</v>
      </c>
      <c r="E25" s="10" t="s">
        <v>67</v>
      </c>
      <c r="F25" s="9">
        <v>35000</v>
      </c>
      <c r="G25" s="2"/>
      <c r="H25" s="2"/>
      <c r="J25" s="10"/>
      <c r="K25" s="10"/>
      <c r="L25" s="9"/>
      <c r="M25" s="2"/>
    </row>
    <row r="26" spans="2:13" ht="15" hidden="1" customHeight="1" x14ac:dyDescent="0.25">
      <c r="B26" s="204"/>
      <c r="C26" s="190"/>
      <c r="D26" s="10" t="s">
        <v>85</v>
      </c>
      <c r="E26" s="10" t="s">
        <v>41</v>
      </c>
      <c r="F26" s="9"/>
      <c r="G26" s="2"/>
      <c r="H26" s="2"/>
      <c r="J26" s="10"/>
      <c r="K26" s="10"/>
      <c r="L26" s="9"/>
      <c r="M26" s="2"/>
    </row>
    <row r="27" spans="2:13" ht="15" customHeight="1" x14ac:dyDescent="0.25">
      <c r="B27" s="204"/>
      <c r="C27" s="190"/>
      <c r="D27" s="10" t="s">
        <v>85</v>
      </c>
      <c r="E27" s="10" t="s">
        <v>47</v>
      </c>
      <c r="F27" s="9">
        <v>7400</v>
      </c>
      <c r="G27" s="2"/>
      <c r="H27" s="2"/>
      <c r="J27" s="10"/>
      <c r="K27" s="10"/>
      <c r="L27" s="9"/>
      <c r="M27" s="2"/>
    </row>
    <row r="28" spans="2:13" ht="15" hidden="1" customHeight="1" x14ac:dyDescent="0.25">
      <c r="B28" s="205"/>
      <c r="C28" s="191"/>
      <c r="D28" s="10" t="s">
        <v>86</v>
      </c>
      <c r="E28" s="10" t="s">
        <v>41</v>
      </c>
      <c r="F28" s="9"/>
      <c r="G28" s="2"/>
      <c r="H28" s="2"/>
    </row>
    <row r="30" spans="2:13" ht="26.25" x14ac:dyDescent="0.25">
      <c r="B30" s="32" t="s">
        <v>91</v>
      </c>
      <c r="C30" s="33" t="s">
        <v>4</v>
      </c>
      <c r="D30" s="5" t="s">
        <v>14</v>
      </c>
      <c r="E30" s="5" t="s">
        <v>92</v>
      </c>
      <c r="F30" s="6">
        <v>25500</v>
      </c>
      <c r="G30" s="2"/>
      <c r="H30" s="2"/>
    </row>
    <row r="32" spans="2:13" x14ac:dyDescent="0.25">
      <c r="B32" s="181" t="s">
        <v>111</v>
      </c>
      <c r="C32" s="189" t="s">
        <v>4</v>
      </c>
      <c r="D32" s="5" t="s">
        <v>104</v>
      </c>
      <c r="E32" s="5" t="s">
        <v>8</v>
      </c>
      <c r="G32" s="2"/>
      <c r="H32" s="2"/>
    </row>
    <row r="33" spans="2:8" x14ac:dyDescent="0.25">
      <c r="B33" s="181"/>
      <c r="C33" s="190"/>
      <c r="D33" s="5" t="s">
        <v>486</v>
      </c>
      <c r="E33" s="5" t="s">
        <v>11</v>
      </c>
      <c r="F33" s="6">
        <v>21000</v>
      </c>
      <c r="G33" s="2" t="s">
        <v>641</v>
      </c>
      <c r="H33" s="2" t="s">
        <v>642</v>
      </c>
    </row>
    <row r="34" spans="2:8" x14ac:dyDescent="0.25">
      <c r="B34" s="181"/>
      <c r="C34" s="191"/>
      <c r="D34" s="5" t="s">
        <v>38</v>
      </c>
      <c r="E34" s="5" t="s">
        <v>3</v>
      </c>
      <c r="F34" s="6">
        <v>14000</v>
      </c>
      <c r="G34" s="2"/>
      <c r="H34" s="2"/>
    </row>
    <row r="35" spans="2:8" x14ac:dyDescent="0.25">
      <c r="B35" s="181"/>
      <c r="C35" s="183" t="s">
        <v>1</v>
      </c>
      <c r="D35" s="5" t="s">
        <v>1</v>
      </c>
      <c r="E35" s="5" t="s">
        <v>8</v>
      </c>
      <c r="F35" s="6">
        <v>26000</v>
      </c>
      <c r="G35" s="2"/>
      <c r="H35" s="2"/>
    </row>
    <row r="36" spans="2:8" x14ac:dyDescent="0.25">
      <c r="B36" s="181"/>
      <c r="C36" s="183"/>
      <c r="D36" s="5" t="s">
        <v>1</v>
      </c>
      <c r="E36" s="5" t="s">
        <v>3</v>
      </c>
      <c r="F36" s="6">
        <v>14500</v>
      </c>
      <c r="G36" s="2"/>
      <c r="H36" s="2"/>
    </row>
    <row r="37" spans="2:8" x14ac:dyDescent="0.25">
      <c r="B37" s="181"/>
      <c r="C37" s="183"/>
      <c r="D37" s="5" t="s">
        <v>110</v>
      </c>
      <c r="E37" s="5" t="s">
        <v>41</v>
      </c>
      <c r="F37" s="6">
        <v>25000</v>
      </c>
      <c r="G37" s="2"/>
      <c r="H37" s="2"/>
    </row>
  </sheetData>
  <mergeCells count="10">
    <mergeCell ref="B32:B37"/>
    <mergeCell ref="C32:C34"/>
    <mergeCell ref="C35:C37"/>
    <mergeCell ref="B3:B4"/>
    <mergeCell ref="C3:C4"/>
    <mergeCell ref="B6:B22"/>
    <mergeCell ref="C6:C15"/>
    <mergeCell ref="C16:C22"/>
    <mergeCell ref="B23:B28"/>
    <mergeCell ref="C23:C2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F16" sqref="F16"/>
    </sheetView>
  </sheetViews>
  <sheetFormatPr baseColWidth="10" defaultColWidth="9.140625" defaultRowHeight="15" x14ac:dyDescent="0.25"/>
  <cols>
    <col min="2" max="2" width="13.42578125" bestFit="1" customWidth="1"/>
    <col min="3" max="3" width="12.5703125" bestFit="1" customWidth="1"/>
    <col min="4" max="4" width="30" bestFit="1" customWidth="1"/>
    <col min="5" max="5" width="12.85546875" bestFit="1" customWidth="1"/>
    <col min="6" max="6" width="13.5703125" bestFit="1" customWidth="1"/>
    <col min="7" max="7" width="13.5703125" customWidth="1"/>
    <col min="8" max="8" width="22.140625" bestFit="1" customWidth="1"/>
    <col min="9" max="9" width="27.140625" bestFit="1" customWidth="1"/>
  </cols>
  <sheetData>
    <row r="2" spans="2:9" ht="18.75" hidden="1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106"/>
      <c r="H2" s="20" t="s">
        <v>250</v>
      </c>
      <c r="I2" s="19" t="s">
        <v>251</v>
      </c>
    </row>
    <row r="3" spans="2:9" ht="15" hidden="1" customHeight="1" x14ac:dyDescent="0.25">
      <c r="B3" s="186" t="s">
        <v>98</v>
      </c>
      <c r="C3" s="189" t="s">
        <v>4</v>
      </c>
      <c r="D3" s="5" t="s">
        <v>99</v>
      </c>
      <c r="E3" s="10" t="s">
        <v>8</v>
      </c>
      <c r="F3" s="9">
        <v>32500</v>
      </c>
      <c r="G3" s="53"/>
      <c r="H3" s="2"/>
      <c r="I3" s="2"/>
    </row>
    <row r="4" spans="2:9" ht="15" hidden="1" customHeight="1" x14ac:dyDescent="0.25">
      <c r="B4" s="187"/>
      <c r="C4" s="190"/>
      <c r="D4" s="5" t="s">
        <v>100</v>
      </c>
      <c r="E4" s="10" t="s">
        <v>3</v>
      </c>
      <c r="F4" s="9">
        <v>19500</v>
      </c>
      <c r="G4" s="53"/>
      <c r="H4" s="2"/>
      <c r="I4" s="2"/>
    </row>
    <row r="5" spans="2:9" ht="15" hidden="1" customHeight="1" x14ac:dyDescent="0.25">
      <c r="B5" s="187"/>
      <c r="C5" s="191"/>
      <c r="D5" s="5" t="s">
        <v>101</v>
      </c>
      <c r="E5" s="10" t="s">
        <v>3</v>
      </c>
      <c r="F5" s="9">
        <v>19000</v>
      </c>
      <c r="G5" s="53"/>
      <c r="H5" s="2"/>
      <c r="I5" s="2"/>
    </row>
    <row r="6" spans="2:9" ht="18.75" hidden="1" customHeight="1" x14ac:dyDescent="0.3">
      <c r="B6" s="188"/>
      <c r="C6" s="30" t="s">
        <v>1</v>
      </c>
      <c r="D6" s="5" t="s">
        <v>102</v>
      </c>
      <c r="E6" s="10" t="s">
        <v>3</v>
      </c>
      <c r="F6" s="9">
        <v>24500</v>
      </c>
      <c r="G6" s="122" t="s">
        <v>602</v>
      </c>
      <c r="H6" s="2" t="s">
        <v>478</v>
      </c>
      <c r="I6" s="2"/>
    </row>
    <row r="9" spans="2:9" ht="18.75" x14ac:dyDescent="0.3">
      <c r="B9" s="18" t="s">
        <v>192</v>
      </c>
      <c r="C9" s="18" t="s">
        <v>247</v>
      </c>
      <c r="D9" s="19" t="s">
        <v>248</v>
      </c>
      <c r="E9" s="19" t="s">
        <v>193</v>
      </c>
      <c r="F9" s="90" t="s">
        <v>194</v>
      </c>
      <c r="G9" s="35"/>
    </row>
    <row r="10" spans="2:9" x14ac:dyDescent="0.25">
      <c r="B10" s="181" t="s">
        <v>98</v>
      </c>
      <c r="C10" s="183" t="s">
        <v>4</v>
      </c>
      <c r="D10" s="5" t="s">
        <v>99</v>
      </c>
      <c r="E10" s="10" t="s">
        <v>8</v>
      </c>
      <c r="F10" s="9">
        <v>33000</v>
      </c>
      <c r="G10" s="2" t="s">
        <v>618</v>
      </c>
    </row>
    <row r="11" spans="2:9" x14ac:dyDescent="0.25">
      <c r="B11" s="181"/>
      <c r="C11" s="183"/>
      <c r="D11" s="5" t="s">
        <v>100</v>
      </c>
      <c r="E11" s="10" t="s">
        <v>3</v>
      </c>
      <c r="F11" s="9">
        <v>20000</v>
      </c>
      <c r="G11" s="2"/>
    </row>
    <row r="12" spans="2:9" x14ac:dyDescent="0.25">
      <c r="B12" s="181"/>
      <c r="C12" s="183"/>
      <c r="D12" s="5" t="s">
        <v>101</v>
      </c>
      <c r="E12" s="10" t="s">
        <v>3</v>
      </c>
      <c r="F12" s="9">
        <v>19500</v>
      </c>
      <c r="G12" s="2"/>
    </row>
    <row r="13" spans="2:9" ht="18.75" x14ac:dyDescent="0.3">
      <c r="B13" s="181"/>
      <c r="C13" s="30" t="s">
        <v>1</v>
      </c>
      <c r="D13" s="5" t="s">
        <v>102</v>
      </c>
      <c r="E13" s="10" t="s">
        <v>3</v>
      </c>
      <c r="F13" s="9">
        <v>24500</v>
      </c>
      <c r="G13" s="2"/>
    </row>
  </sheetData>
  <mergeCells count="4">
    <mergeCell ref="B10:B13"/>
    <mergeCell ref="C10:C12"/>
    <mergeCell ref="B3:B6"/>
    <mergeCell ref="C3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18"/>
  <sheetViews>
    <sheetView view="pageBreakPreview" topLeftCell="A3" zoomScaleNormal="115" zoomScaleSheetLayoutView="100" workbookViewId="0">
      <selection activeCell="G15" sqref="G15"/>
    </sheetView>
  </sheetViews>
  <sheetFormatPr baseColWidth="10" defaultColWidth="9.140625" defaultRowHeight="15" x14ac:dyDescent="0.25"/>
  <cols>
    <col min="2" max="2" width="16.5703125" bestFit="1" customWidth="1"/>
    <col min="3" max="3" width="12.5703125" bestFit="1" customWidth="1"/>
    <col min="4" max="4" width="31.5703125" bestFit="1" customWidth="1"/>
    <col min="5" max="5" width="12.85546875" bestFit="1" customWidth="1"/>
    <col min="6" max="6" width="9.5703125" bestFit="1" customWidth="1"/>
    <col min="7" max="7" width="13.7109375" bestFit="1" customWidth="1"/>
    <col min="8" max="8" width="30.140625" bestFit="1" customWidth="1"/>
    <col min="9" max="9" width="17.42578125" bestFit="1" customWidth="1"/>
  </cols>
  <sheetData>
    <row r="1" spans="2:9" x14ac:dyDescent="0.25">
      <c r="G1" s="45"/>
    </row>
    <row r="2" spans="2:9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90" t="s">
        <v>589</v>
      </c>
      <c r="H2" s="105" t="s">
        <v>505</v>
      </c>
      <c r="I2" s="19" t="s">
        <v>498</v>
      </c>
    </row>
    <row r="3" spans="2:9" ht="14.45" customHeight="1" x14ac:dyDescent="0.25">
      <c r="B3" s="181" t="s">
        <v>62</v>
      </c>
      <c r="C3" s="183" t="s">
        <v>1</v>
      </c>
      <c r="D3" s="5" t="s">
        <v>63</v>
      </c>
      <c r="E3" s="5" t="s">
        <v>3</v>
      </c>
      <c r="F3" s="6">
        <v>12800</v>
      </c>
      <c r="G3" s="6">
        <v>14000</v>
      </c>
      <c r="H3" s="107"/>
      <c r="I3" s="9"/>
    </row>
    <row r="4" spans="2:9" x14ac:dyDescent="0.25">
      <c r="B4" s="185"/>
      <c r="C4" s="185"/>
      <c r="D4" s="5" t="s">
        <v>63</v>
      </c>
      <c r="E4" s="5" t="s">
        <v>11</v>
      </c>
      <c r="F4" s="6">
        <v>29000</v>
      </c>
      <c r="G4" s="6">
        <v>30000</v>
      </c>
      <c r="H4" s="107"/>
      <c r="I4" s="9"/>
    </row>
    <row r="5" spans="2:9" ht="18.75" x14ac:dyDescent="0.25">
      <c r="B5" s="185"/>
      <c r="C5" s="102" t="s">
        <v>4</v>
      </c>
      <c r="D5" s="5" t="s">
        <v>64</v>
      </c>
      <c r="E5" s="5" t="s">
        <v>11</v>
      </c>
      <c r="F5" s="6">
        <v>24000</v>
      </c>
      <c r="G5" s="6"/>
      <c r="H5" s="107"/>
      <c r="I5" s="9">
        <v>27500</v>
      </c>
    </row>
    <row r="6" spans="2:9" x14ac:dyDescent="0.25">
      <c r="B6" s="1"/>
      <c r="C6" s="1"/>
      <c r="D6" s="1"/>
      <c r="E6" s="1"/>
      <c r="F6" s="1"/>
      <c r="G6" s="11"/>
      <c r="H6" s="12"/>
      <c r="I6" s="12"/>
    </row>
    <row r="7" spans="2:9" ht="15" customHeight="1" x14ac:dyDescent="0.25">
      <c r="B7" s="186" t="s">
        <v>93</v>
      </c>
      <c r="C7" s="189" t="s">
        <v>4</v>
      </c>
      <c r="D7" s="5" t="s">
        <v>94</v>
      </c>
      <c r="E7" s="10" t="s">
        <v>8</v>
      </c>
      <c r="F7" s="9">
        <v>30500</v>
      </c>
      <c r="G7" s="9"/>
      <c r="H7" s="107">
        <v>31500</v>
      </c>
      <c r="I7" s="9">
        <v>32000</v>
      </c>
    </row>
    <row r="8" spans="2:9" ht="15" customHeight="1" x14ac:dyDescent="0.25">
      <c r="B8" s="187"/>
      <c r="C8" s="190"/>
      <c r="D8" s="5" t="s">
        <v>95</v>
      </c>
      <c r="E8" s="10" t="s">
        <v>3</v>
      </c>
      <c r="F8" s="9">
        <v>20000</v>
      </c>
      <c r="G8" s="9"/>
      <c r="H8" s="107">
        <v>21000</v>
      </c>
      <c r="I8" s="9">
        <v>23000</v>
      </c>
    </row>
    <row r="9" spans="2:9" ht="15" customHeight="1" x14ac:dyDescent="0.25">
      <c r="B9" s="187"/>
      <c r="C9" s="191"/>
      <c r="D9" s="5" t="s">
        <v>96</v>
      </c>
      <c r="E9" s="10" t="s">
        <v>3</v>
      </c>
      <c r="F9" s="9">
        <v>19000</v>
      </c>
      <c r="G9" s="9"/>
      <c r="H9" s="107">
        <v>20000</v>
      </c>
      <c r="I9" s="9">
        <v>23000</v>
      </c>
    </row>
    <row r="10" spans="2:9" ht="18.75" customHeight="1" x14ac:dyDescent="0.3">
      <c r="B10" s="188"/>
      <c r="C10" s="30" t="s">
        <v>1</v>
      </c>
      <c r="D10" s="5" t="s">
        <v>97</v>
      </c>
      <c r="E10" s="10" t="s">
        <v>3</v>
      </c>
      <c r="F10" s="9">
        <v>22800</v>
      </c>
      <c r="G10" s="9"/>
      <c r="H10" s="107">
        <v>22800</v>
      </c>
      <c r="I10" s="9">
        <v>25000</v>
      </c>
    </row>
    <row r="11" spans="2:9" x14ac:dyDescent="0.25">
      <c r="H11" s="12"/>
      <c r="I11" s="12"/>
    </row>
    <row r="12" spans="2:9" ht="26.25" x14ac:dyDescent="0.25">
      <c r="B12" s="22" t="s">
        <v>26</v>
      </c>
      <c r="C12" s="23" t="s">
        <v>4</v>
      </c>
      <c r="D12" s="5" t="s">
        <v>26</v>
      </c>
      <c r="E12" s="5" t="s">
        <v>11</v>
      </c>
      <c r="F12" s="6">
        <v>21000</v>
      </c>
      <c r="G12" s="6"/>
      <c r="H12" s="9"/>
      <c r="I12" s="9"/>
    </row>
    <row r="16" spans="2:9" x14ac:dyDescent="0.25">
      <c r="D16" s="11"/>
      <c r="E16" s="52"/>
      <c r="F16" s="53"/>
      <c r="G16" s="53"/>
    </row>
    <row r="17" spans="4:7" x14ac:dyDescent="0.25">
      <c r="D17" s="11"/>
      <c r="E17" s="52" t="s">
        <v>485</v>
      </c>
      <c r="F17" s="53"/>
      <c r="G17" s="53"/>
    </row>
    <row r="18" spans="4:7" x14ac:dyDescent="0.25">
      <c r="D18" s="11"/>
      <c r="E18" s="11"/>
      <c r="F18" s="16"/>
      <c r="G18" s="16"/>
    </row>
  </sheetData>
  <mergeCells count="4">
    <mergeCell ref="B3:B5"/>
    <mergeCell ref="C3:C4"/>
    <mergeCell ref="B7:B10"/>
    <mergeCell ref="C7:C9"/>
  </mergeCells>
  <pageMargins left="1" right="1" top="1" bottom="1" header="0.5" footer="0.5"/>
  <pageSetup scale="54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L54"/>
  <sheetViews>
    <sheetView topLeftCell="A2" zoomScale="85" zoomScaleNormal="85" workbookViewId="0">
      <selection activeCell="B3" sqref="B3:G45"/>
    </sheetView>
  </sheetViews>
  <sheetFormatPr baseColWidth="10" defaultRowHeight="15" x14ac:dyDescent="0.25"/>
  <cols>
    <col min="2" max="2" width="15.140625" bestFit="1" customWidth="1"/>
    <col min="3" max="3" width="12.5703125" bestFit="1" customWidth="1"/>
    <col min="4" max="4" width="58.28515625" bestFit="1" customWidth="1"/>
    <col min="5" max="5" width="12.85546875" customWidth="1"/>
    <col min="6" max="6" width="13.28515625" hidden="1" customWidth="1"/>
    <col min="7" max="8" width="15.42578125" customWidth="1"/>
    <col min="9" max="9" width="18.5703125" bestFit="1" customWidth="1"/>
    <col min="10" max="10" width="18.5703125" customWidth="1"/>
  </cols>
  <sheetData>
    <row r="2" spans="2:10" ht="18.75" x14ac:dyDescent="0.3">
      <c r="H2" s="69" t="s">
        <v>502</v>
      </c>
      <c r="J2" s="69" t="s">
        <v>502</v>
      </c>
    </row>
    <row r="3" spans="2:10" ht="18.75" x14ac:dyDescent="0.3">
      <c r="B3" s="18" t="s">
        <v>192</v>
      </c>
      <c r="C3" s="18" t="s">
        <v>247</v>
      </c>
      <c r="D3" s="19" t="s">
        <v>248</v>
      </c>
      <c r="E3" s="19" t="s">
        <v>193</v>
      </c>
      <c r="F3" s="19" t="s">
        <v>499</v>
      </c>
      <c r="G3" s="90" t="s">
        <v>194</v>
      </c>
      <c r="H3" s="90" t="s">
        <v>194</v>
      </c>
      <c r="I3" s="70" t="s">
        <v>500</v>
      </c>
      <c r="J3" s="69" t="s">
        <v>503</v>
      </c>
    </row>
    <row r="4" spans="2:10" ht="15" customHeight="1" x14ac:dyDescent="0.25">
      <c r="B4" s="194" t="s">
        <v>112</v>
      </c>
      <c r="C4" s="200" t="s">
        <v>4</v>
      </c>
      <c r="D4" s="2" t="s">
        <v>113</v>
      </c>
      <c r="E4" s="2" t="s">
        <v>21</v>
      </c>
      <c r="F4" s="13">
        <v>37083</v>
      </c>
      <c r="G4" s="13">
        <v>39000</v>
      </c>
      <c r="H4" s="148">
        <v>33000</v>
      </c>
      <c r="I4" s="13">
        <v>42000</v>
      </c>
      <c r="J4" s="13">
        <v>37000</v>
      </c>
    </row>
    <row r="5" spans="2:10" ht="15" customHeight="1" x14ac:dyDescent="0.25">
      <c r="B5" s="195"/>
      <c r="C5" s="201"/>
      <c r="D5" s="2" t="s">
        <v>114</v>
      </c>
      <c r="E5" s="2" t="s">
        <v>21</v>
      </c>
      <c r="F5" s="13">
        <v>34828</v>
      </c>
      <c r="G5" s="13">
        <v>36000</v>
      </c>
      <c r="H5" s="148">
        <v>30000</v>
      </c>
      <c r="I5" s="13">
        <v>40000</v>
      </c>
      <c r="J5" s="13">
        <v>35000</v>
      </c>
    </row>
    <row r="6" spans="2:10" ht="15" customHeight="1" x14ac:dyDescent="0.25">
      <c r="B6" s="196"/>
      <c r="C6" s="202"/>
      <c r="D6" s="2" t="s">
        <v>115</v>
      </c>
      <c r="E6" s="2" t="s">
        <v>21</v>
      </c>
      <c r="F6" s="13">
        <v>33701</v>
      </c>
      <c r="G6" s="13">
        <v>37000</v>
      </c>
      <c r="H6" s="148">
        <v>32000</v>
      </c>
      <c r="I6" s="13">
        <v>40000</v>
      </c>
      <c r="J6" s="13">
        <v>35000</v>
      </c>
    </row>
    <row r="7" spans="2:10" x14ac:dyDescent="0.25">
      <c r="I7" s="12"/>
      <c r="J7" s="12"/>
    </row>
    <row r="8" spans="2:10" ht="15" customHeight="1" x14ac:dyDescent="0.25">
      <c r="B8" s="206" t="s">
        <v>195</v>
      </c>
      <c r="C8" s="200" t="s">
        <v>1</v>
      </c>
      <c r="D8" s="2" t="s">
        <v>196</v>
      </c>
      <c r="E8" s="2" t="s">
        <v>125</v>
      </c>
      <c r="F8" s="13">
        <v>15829</v>
      </c>
      <c r="G8" s="13">
        <v>17000</v>
      </c>
      <c r="H8" s="13"/>
      <c r="I8" s="13">
        <v>18000</v>
      </c>
      <c r="J8" s="13"/>
    </row>
    <row r="9" spans="2:10" ht="15" customHeight="1" x14ac:dyDescent="0.25">
      <c r="B9" s="207"/>
      <c r="C9" s="201"/>
      <c r="D9" s="2" t="s">
        <v>197</v>
      </c>
      <c r="E9" s="2" t="s">
        <v>125</v>
      </c>
      <c r="F9" s="13">
        <v>13646</v>
      </c>
      <c r="G9" s="13">
        <v>15000</v>
      </c>
      <c r="H9" s="13"/>
      <c r="I9" s="13">
        <v>17000</v>
      </c>
      <c r="J9" s="13"/>
    </row>
    <row r="10" spans="2:10" ht="15" customHeight="1" x14ac:dyDescent="0.25">
      <c r="B10" s="207"/>
      <c r="C10" s="201"/>
      <c r="D10" s="2" t="s">
        <v>197</v>
      </c>
      <c r="E10" s="2" t="s">
        <v>3</v>
      </c>
      <c r="F10" s="13">
        <v>51920</v>
      </c>
      <c r="G10" s="13">
        <v>55000</v>
      </c>
      <c r="H10" s="13"/>
      <c r="I10" s="13">
        <v>58000</v>
      </c>
      <c r="J10" s="13"/>
    </row>
    <row r="11" spans="2:10" ht="15" customHeight="1" x14ac:dyDescent="0.25">
      <c r="B11" s="207"/>
      <c r="C11" s="201"/>
      <c r="D11" s="2" t="s">
        <v>198</v>
      </c>
      <c r="E11" s="2" t="s">
        <v>125</v>
      </c>
      <c r="F11" s="13">
        <v>14156</v>
      </c>
      <c r="G11" s="13">
        <v>15500</v>
      </c>
      <c r="H11" s="13"/>
      <c r="I11" s="13">
        <v>18000</v>
      </c>
      <c r="J11" s="13"/>
    </row>
    <row r="12" spans="2:10" ht="15" customHeight="1" x14ac:dyDescent="0.25">
      <c r="B12" s="207"/>
      <c r="C12" s="201"/>
      <c r="D12" s="2" t="s">
        <v>198</v>
      </c>
      <c r="E12" s="2" t="s">
        <v>3</v>
      </c>
      <c r="F12" s="13">
        <v>53861</v>
      </c>
      <c r="G12" s="13">
        <v>57000</v>
      </c>
      <c r="H12" s="13"/>
      <c r="I12" s="13">
        <v>60000</v>
      </c>
      <c r="J12" s="13"/>
    </row>
    <row r="13" spans="2:10" ht="15" customHeight="1" x14ac:dyDescent="0.25">
      <c r="B13" s="207"/>
      <c r="C13" s="201"/>
      <c r="D13" s="2" t="s">
        <v>199</v>
      </c>
      <c r="E13" s="2" t="s">
        <v>125</v>
      </c>
      <c r="F13" s="13">
        <v>14410</v>
      </c>
      <c r="G13" s="13">
        <v>15500</v>
      </c>
      <c r="H13" s="13"/>
      <c r="I13" s="13">
        <v>18000</v>
      </c>
      <c r="J13" s="13"/>
    </row>
    <row r="14" spans="2:10" ht="15" customHeight="1" x14ac:dyDescent="0.25">
      <c r="B14" s="207"/>
      <c r="C14" s="201"/>
      <c r="D14" s="2" t="s">
        <v>199</v>
      </c>
      <c r="E14" s="2" t="s">
        <v>3</v>
      </c>
      <c r="F14" s="13">
        <v>53976</v>
      </c>
      <c r="G14" s="13">
        <v>57000</v>
      </c>
      <c r="H14" s="13"/>
      <c r="I14" s="13">
        <v>60000</v>
      </c>
      <c r="J14" s="13"/>
    </row>
    <row r="15" spans="2:10" ht="15" customHeight="1" x14ac:dyDescent="0.25">
      <c r="B15" s="207"/>
      <c r="C15" s="201"/>
      <c r="D15" s="2" t="s">
        <v>200</v>
      </c>
      <c r="E15" s="2" t="s">
        <v>125</v>
      </c>
      <c r="F15" s="13">
        <v>14410</v>
      </c>
      <c r="G15" s="13">
        <v>15500</v>
      </c>
      <c r="H15" s="13"/>
      <c r="I15" s="13">
        <v>18000</v>
      </c>
      <c r="J15" s="13"/>
    </row>
    <row r="16" spans="2:10" ht="15" customHeight="1" x14ac:dyDescent="0.25">
      <c r="B16" s="207"/>
      <c r="C16" s="201"/>
      <c r="D16" s="2" t="s">
        <v>200</v>
      </c>
      <c r="E16" s="2" t="s">
        <v>3</v>
      </c>
      <c r="F16" s="13">
        <v>53976</v>
      </c>
      <c r="G16" s="13">
        <v>57000</v>
      </c>
      <c r="H16" s="13"/>
      <c r="I16" s="13">
        <v>60000</v>
      </c>
      <c r="J16" s="13"/>
    </row>
    <row r="17" spans="1:12" ht="15" customHeight="1" x14ac:dyDescent="0.25">
      <c r="B17" s="207"/>
      <c r="C17" s="201"/>
      <c r="D17" s="2" t="s">
        <v>201</v>
      </c>
      <c r="E17" s="2" t="s">
        <v>125</v>
      </c>
      <c r="F17" s="13">
        <v>13927</v>
      </c>
      <c r="G17" s="13">
        <v>15000</v>
      </c>
      <c r="H17" s="13"/>
      <c r="I17" s="13">
        <v>17000</v>
      </c>
      <c r="J17" s="13"/>
    </row>
    <row r="18" spans="1:12" ht="15" customHeight="1" x14ac:dyDescent="0.25">
      <c r="B18" s="207"/>
      <c r="C18" s="202"/>
      <c r="D18" s="15" t="s">
        <v>201</v>
      </c>
      <c r="E18" s="15" t="s">
        <v>3</v>
      </c>
      <c r="F18" s="13">
        <v>47847</v>
      </c>
      <c r="G18" s="13">
        <v>52000</v>
      </c>
      <c r="H18" s="13"/>
      <c r="I18" s="13">
        <v>56000</v>
      </c>
      <c r="J18" s="13"/>
    </row>
    <row r="19" spans="1:12" ht="15" customHeight="1" x14ac:dyDescent="0.25">
      <c r="B19" s="207"/>
      <c r="C19" s="200" t="s">
        <v>4</v>
      </c>
      <c r="D19" s="2" t="s">
        <v>202</v>
      </c>
      <c r="E19" s="2" t="s">
        <v>203</v>
      </c>
      <c r="F19" s="13">
        <v>45084</v>
      </c>
      <c r="G19" s="13">
        <v>47500</v>
      </c>
      <c r="H19" s="13"/>
      <c r="I19" s="13">
        <v>55000</v>
      </c>
      <c r="J19" s="13"/>
    </row>
    <row r="20" spans="1:12" ht="15" customHeight="1" x14ac:dyDescent="0.25">
      <c r="B20" s="207"/>
      <c r="C20" s="201"/>
      <c r="D20" s="2" t="s">
        <v>204</v>
      </c>
      <c r="E20" s="2" t="s">
        <v>203</v>
      </c>
      <c r="F20" s="13">
        <v>47572</v>
      </c>
      <c r="G20" s="13">
        <v>50000</v>
      </c>
      <c r="H20" s="13"/>
      <c r="I20" s="13">
        <v>57000</v>
      </c>
      <c r="J20" s="13"/>
    </row>
    <row r="21" spans="1:12" ht="15" customHeight="1" x14ac:dyDescent="0.25">
      <c r="A21" t="s">
        <v>665</v>
      </c>
      <c r="B21" s="207"/>
      <c r="C21" s="201"/>
      <c r="D21" s="2" t="s">
        <v>205</v>
      </c>
      <c r="E21" s="2" t="s">
        <v>203</v>
      </c>
      <c r="F21" s="13">
        <v>44617</v>
      </c>
      <c r="G21" s="13">
        <v>47000</v>
      </c>
      <c r="H21" s="13"/>
      <c r="I21" s="13">
        <v>54000</v>
      </c>
      <c r="J21" s="13"/>
    </row>
    <row r="22" spans="1:12" ht="15" customHeight="1" x14ac:dyDescent="0.25">
      <c r="B22" s="207"/>
      <c r="C22" s="201"/>
      <c r="D22" s="2" t="s">
        <v>206</v>
      </c>
      <c r="E22" s="2" t="s">
        <v>207</v>
      </c>
      <c r="F22" s="13">
        <v>45187</v>
      </c>
      <c r="G22" s="13">
        <v>47700</v>
      </c>
      <c r="H22" s="13"/>
      <c r="I22" s="13">
        <v>55000</v>
      </c>
      <c r="J22" s="13"/>
    </row>
    <row r="23" spans="1:12" ht="15" customHeight="1" x14ac:dyDescent="0.25">
      <c r="B23" s="207"/>
      <c r="C23" s="201"/>
      <c r="D23" s="27" t="s">
        <v>208</v>
      </c>
      <c r="E23" s="27" t="s">
        <v>209</v>
      </c>
      <c r="F23" s="148">
        <v>26013</v>
      </c>
      <c r="G23" s="148">
        <v>28000</v>
      </c>
      <c r="H23" s="13"/>
      <c r="I23" s="13"/>
      <c r="J23" s="13"/>
    </row>
    <row r="24" spans="1:12" ht="15" customHeight="1" x14ac:dyDescent="0.25">
      <c r="B24" s="207"/>
      <c r="C24" s="201"/>
      <c r="D24" s="27" t="s">
        <v>210</v>
      </c>
      <c r="E24" s="27" t="s">
        <v>209</v>
      </c>
      <c r="F24" s="148">
        <v>25579</v>
      </c>
      <c r="G24" s="148">
        <v>28000</v>
      </c>
      <c r="H24" s="13"/>
      <c r="I24" s="13"/>
      <c r="J24" s="13"/>
    </row>
    <row r="25" spans="1:12" ht="15" customHeight="1" x14ac:dyDescent="0.25">
      <c r="B25" s="207"/>
      <c r="C25" s="201"/>
      <c r="D25" s="2" t="s">
        <v>583</v>
      </c>
      <c r="E25" s="2" t="s">
        <v>3</v>
      </c>
      <c r="F25" s="13">
        <v>37522</v>
      </c>
      <c r="G25" s="13">
        <v>40000</v>
      </c>
      <c r="H25" s="13"/>
      <c r="I25" s="13">
        <v>47000</v>
      </c>
      <c r="J25" s="13"/>
    </row>
    <row r="26" spans="1:12" ht="15" customHeight="1" x14ac:dyDescent="0.25">
      <c r="B26" s="207"/>
      <c r="C26" s="201"/>
      <c r="D26" s="2" t="s">
        <v>212</v>
      </c>
      <c r="E26" s="2" t="s">
        <v>209</v>
      </c>
      <c r="F26" s="13">
        <v>26013</v>
      </c>
      <c r="G26" s="13">
        <v>28000</v>
      </c>
      <c r="H26" s="13"/>
      <c r="I26" s="13"/>
      <c r="J26" s="13">
        <v>32000</v>
      </c>
      <c r="L26">
        <v>7000</v>
      </c>
    </row>
    <row r="27" spans="1:12" ht="15" customHeight="1" x14ac:dyDescent="0.25">
      <c r="B27" s="207"/>
      <c r="C27" s="201"/>
      <c r="D27" s="2" t="s">
        <v>213</v>
      </c>
      <c r="E27" s="2" t="s">
        <v>203</v>
      </c>
      <c r="F27" s="13">
        <v>49690</v>
      </c>
      <c r="G27" s="13">
        <v>53500</v>
      </c>
      <c r="H27" s="13"/>
      <c r="I27" s="13">
        <v>57000</v>
      </c>
      <c r="J27" s="13"/>
    </row>
    <row r="28" spans="1:12" ht="15" customHeight="1" x14ac:dyDescent="0.25">
      <c r="B28" s="207"/>
      <c r="C28" s="201"/>
      <c r="D28" s="2" t="s">
        <v>214</v>
      </c>
      <c r="E28" s="2" t="s">
        <v>203</v>
      </c>
      <c r="F28" s="13">
        <v>52745</v>
      </c>
      <c r="G28" s="13">
        <v>56000</v>
      </c>
      <c r="H28" s="13"/>
      <c r="I28" s="13">
        <v>60000</v>
      </c>
      <c r="J28" s="13"/>
    </row>
    <row r="29" spans="1:12" ht="15" customHeight="1" x14ac:dyDescent="0.25">
      <c r="B29" s="207"/>
      <c r="C29" s="201"/>
      <c r="D29" s="2" t="s">
        <v>215</v>
      </c>
      <c r="E29" s="2" t="s">
        <v>203</v>
      </c>
      <c r="F29" s="13">
        <v>58362</v>
      </c>
      <c r="G29" s="13">
        <v>61000</v>
      </c>
      <c r="H29" s="13"/>
      <c r="I29" s="13">
        <v>68000</v>
      </c>
      <c r="J29" s="13"/>
    </row>
    <row r="30" spans="1:12" ht="15" customHeight="1" x14ac:dyDescent="0.25">
      <c r="B30" s="207"/>
      <c r="C30" s="201"/>
      <c r="D30" s="2" t="s">
        <v>501</v>
      </c>
      <c r="E30" s="2" t="s">
        <v>203</v>
      </c>
      <c r="F30" s="13">
        <v>47892</v>
      </c>
      <c r="G30" s="13">
        <v>50500</v>
      </c>
      <c r="H30" s="13"/>
      <c r="I30" s="13">
        <v>57000</v>
      </c>
      <c r="J30" s="13"/>
    </row>
    <row r="31" spans="1:12" ht="15" customHeight="1" x14ac:dyDescent="0.25">
      <c r="B31" s="207"/>
      <c r="C31" s="201"/>
      <c r="D31" s="2" t="s">
        <v>217</v>
      </c>
      <c r="E31" s="2" t="s">
        <v>203</v>
      </c>
      <c r="F31" s="13">
        <v>45304</v>
      </c>
      <c r="G31" s="13">
        <v>48000</v>
      </c>
      <c r="H31" s="13"/>
      <c r="I31" s="13">
        <v>55000</v>
      </c>
      <c r="J31" s="13"/>
    </row>
    <row r="32" spans="1:12" ht="15" customHeight="1" x14ac:dyDescent="0.25">
      <c r="B32" s="207"/>
      <c r="C32" s="201"/>
      <c r="D32" s="10" t="s">
        <v>218</v>
      </c>
      <c r="E32" s="10" t="s">
        <v>203</v>
      </c>
      <c r="F32" s="9">
        <v>45377</v>
      </c>
      <c r="G32" s="9">
        <v>48000</v>
      </c>
      <c r="H32" s="13"/>
      <c r="I32" s="13">
        <v>55000</v>
      </c>
      <c r="J32" s="13"/>
    </row>
    <row r="33" spans="2:10" ht="15" customHeight="1" x14ac:dyDescent="0.25">
      <c r="B33" s="208"/>
      <c r="C33" s="202"/>
      <c r="D33" s="27" t="s">
        <v>219</v>
      </c>
      <c r="E33" s="27" t="s">
        <v>203</v>
      </c>
      <c r="F33" s="148">
        <v>46409</v>
      </c>
      <c r="G33" s="148">
        <v>49500</v>
      </c>
      <c r="H33" s="13"/>
      <c r="I33" s="13">
        <v>56000</v>
      </c>
      <c r="J33" s="13"/>
    </row>
    <row r="34" spans="2:10" x14ac:dyDescent="0.25">
      <c r="I34" s="12"/>
      <c r="J34" s="12"/>
    </row>
    <row r="35" spans="2:10" ht="15" customHeight="1" x14ac:dyDescent="0.25">
      <c r="B35" s="206" t="s">
        <v>143</v>
      </c>
      <c r="C35" s="200" t="s">
        <v>1</v>
      </c>
      <c r="D35" s="10" t="s">
        <v>144</v>
      </c>
      <c r="E35" s="10" t="s">
        <v>3</v>
      </c>
      <c r="F35" s="9">
        <v>32898</v>
      </c>
      <c r="G35" s="9">
        <v>35000</v>
      </c>
      <c r="H35" s="9"/>
      <c r="I35" s="13">
        <v>38500</v>
      </c>
      <c r="J35" s="13"/>
    </row>
    <row r="36" spans="2:10" ht="15" customHeight="1" x14ac:dyDescent="0.25">
      <c r="B36" s="207"/>
      <c r="C36" s="201"/>
      <c r="D36" s="10" t="s">
        <v>145</v>
      </c>
      <c r="E36" s="10" t="s">
        <v>146</v>
      </c>
      <c r="F36" s="9">
        <v>10447</v>
      </c>
      <c r="G36" s="9">
        <v>11500</v>
      </c>
      <c r="H36" s="9">
        <v>6600</v>
      </c>
      <c r="I36" s="13">
        <v>15000</v>
      </c>
      <c r="J36" s="13">
        <v>7500</v>
      </c>
    </row>
    <row r="37" spans="2:10" ht="15" customHeight="1" x14ac:dyDescent="0.25">
      <c r="B37" s="207"/>
      <c r="C37" s="201"/>
      <c r="D37" s="10" t="s">
        <v>147</v>
      </c>
      <c r="E37" s="10" t="s">
        <v>146</v>
      </c>
      <c r="F37" s="9">
        <v>9515</v>
      </c>
      <c r="G37" s="9">
        <v>11500</v>
      </c>
      <c r="H37" s="9">
        <v>6600</v>
      </c>
      <c r="I37" s="13">
        <v>15000</v>
      </c>
      <c r="J37" s="13">
        <v>7500</v>
      </c>
    </row>
    <row r="38" spans="2:10" ht="15" customHeight="1" x14ac:dyDescent="0.25">
      <c r="B38" s="207"/>
      <c r="C38" s="201"/>
      <c r="D38" s="10" t="s">
        <v>148</v>
      </c>
      <c r="E38" s="10" t="s">
        <v>3</v>
      </c>
      <c r="F38" s="9">
        <v>33678</v>
      </c>
      <c r="G38" s="9">
        <v>36000</v>
      </c>
      <c r="H38" s="9">
        <v>29700</v>
      </c>
      <c r="I38" s="13">
        <v>38500</v>
      </c>
      <c r="J38" s="13">
        <v>33000</v>
      </c>
    </row>
    <row r="39" spans="2:10" ht="15" customHeight="1" x14ac:dyDescent="0.25">
      <c r="B39" s="207"/>
      <c r="C39" s="201"/>
      <c r="D39" s="10" t="s">
        <v>149</v>
      </c>
      <c r="E39" s="10" t="s">
        <v>146</v>
      </c>
      <c r="F39" s="9">
        <v>10447</v>
      </c>
      <c r="G39" s="9">
        <v>11500</v>
      </c>
      <c r="H39" s="9">
        <v>6600</v>
      </c>
      <c r="I39" s="13">
        <v>15000</v>
      </c>
      <c r="J39" s="13">
        <v>7500</v>
      </c>
    </row>
    <row r="40" spans="2:10" ht="15" customHeight="1" x14ac:dyDescent="0.25">
      <c r="B40" s="207"/>
      <c r="C40" s="202"/>
      <c r="D40" s="10" t="s">
        <v>149</v>
      </c>
      <c r="E40" s="10" t="s">
        <v>3</v>
      </c>
      <c r="F40" s="9">
        <v>35874</v>
      </c>
      <c r="G40" s="9">
        <v>38000</v>
      </c>
      <c r="H40" s="9">
        <v>31700</v>
      </c>
      <c r="I40" s="13">
        <v>38500</v>
      </c>
      <c r="J40" s="13">
        <v>35000</v>
      </c>
    </row>
    <row r="41" spans="2:10" ht="15" customHeight="1" x14ac:dyDescent="0.25">
      <c r="B41" s="207"/>
      <c r="C41" s="200" t="s">
        <v>4</v>
      </c>
      <c r="D41" s="2" t="s">
        <v>150</v>
      </c>
      <c r="E41" s="2" t="s">
        <v>21</v>
      </c>
      <c r="F41" s="13">
        <v>46627</v>
      </c>
      <c r="G41" s="13">
        <v>49000</v>
      </c>
      <c r="H41" s="13">
        <v>42000</v>
      </c>
      <c r="I41" s="13">
        <v>51000</v>
      </c>
      <c r="J41" s="13">
        <v>45000</v>
      </c>
    </row>
    <row r="42" spans="2:10" ht="15" customHeight="1" x14ac:dyDescent="0.25">
      <c r="B42" s="207"/>
      <c r="C42" s="201"/>
      <c r="D42" s="2" t="s">
        <v>151</v>
      </c>
      <c r="E42" s="2" t="s">
        <v>21</v>
      </c>
      <c r="F42" s="13">
        <v>45998</v>
      </c>
      <c r="G42" s="13">
        <v>48500</v>
      </c>
      <c r="H42" s="13"/>
      <c r="I42" s="13">
        <v>51000</v>
      </c>
      <c r="J42" s="13"/>
    </row>
    <row r="43" spans="2:10" ht="15" customHeight="1" x14ac:dyDescent="0.25">
      <c r="B43" s="207"/>
      <c r="C43" s="201"/>
      <c r="D43" s="2" t="s">
        <v>152</v>
      </c>
      <c r="E43" s="2" t="s">
        <v>41</v>
      </c>
      <c r="F43" s="13">
        <v>45091</v>
      </c>
      <c r="G43" s="13">
        <v>48000</v>
      </c>
      <c r="H43" s="13"/>
      <c r="I43" s="13">
        <v>51000</v>
      </c>
      <c r="J43" s="13"/>
    </row>
    <row r="44" spans="2:10" ht="15" customHeight="1" x14ac:dyDescent="0.25">
      <c r="B44" s="207"/>
      <c r="C44" s="201"/>
      <c r="D44" s="2" t="s">
        <v>153</v>
      </c>
      <c r="E44" s="2" t="s">
        <v>21</v>
      </c>
      <c r="F44" s="13">
        <v>48765</v>
      </c>
      <c r="G44" s="13">
        <v>51500</v>
      </c>
      <c r="H44" s="13">
        <v>43700</v>
      </c>
      <c r="I44" s="13">
        <v>52000</v>
      </c>
      <c r="J44" s="13">
        <v>47000</v>
      </c>
    </row>
    <row r="45" spans="2:10" ht="15" customHeight="1" x14ac:dyDescent="0.25">
      <c r="B45" s="208"/>
      <c r="C45" s="202"/>
      <c r="D45" s="2" t="s">
        <v>154</v>
      </c>
      <c r="E45" s="2" t="s">
        <v>41</v>
      </c>
      <c r="F45" s="13">
        <v>35932</v>
      </c>
      <c r="G45" s="13">
        <v>39000</v>
      </c>
      <c r="H45" s="13"/>
      <c r="I45" s="13">
        <v>42000</v>
      </c>
      <c r="J45" s="13"/>
    </row>
    <row r="47" spans="2:10" x14ac:dyDescent="0.25">
      <c r="D47" t="s">
        <v>620</v>
      </c>
    </row>
    <row r="54" spans="9:9" x14ac:dyDescent="0.25">
      <c r="I54" t="s">
        <v>619</v>
      </c>
    </row>
  </sheetData>
  <mergeCells count="8">
    <mergeCell ref="B35:B45"/>
    <mergeCell ref="C35:C40"/>
    <mergeCell ref="C41:C45"/>
    <mergeCell ref="B4:B6"/>
    <mergeCell ref="C4:C6"/>
    <mergeCell ref="B8:B33"/>
    <mergeCell ref="C8:C18"/>
    <mergeCell ref="C19:C33"/>
  </mergeCells>
  <pageMargins left="1" right="1" top="1" bottom="1" header="0.5" footer="0.5"/>
  <pageSetup scale="7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69"/>
  <sheetViews>
    <sheetView topLeftCell="D4" zoomScale="85" zoomScaleNormal="85" workbookViewId="0">
      <selection activeCell="K27" sqref="K27:M30"/>
    </sheetView>
  </sheetViews>
  <sheetFormatPr baseColWidth="10" defaultColWidth="9.140625" defaultRowHeight="15" x14ac:dyDescent="0.25"/>
  <cols>
    <col min="2" max="2" width="20.5703125" bestFit="1" customWidth="1"/>
    <col min="3" max="3" width="12.5703125" bestFit="1" customWidth="1"/>
    <col min="4" max="4" width="52.85546875" bestFit="1" customWidth="1"/>
    <col min="5" max="5" width="12.7109375" customWidth="1"/>
    <col min="6" max="6" width="9.5703125" bestFit="1" customWidth="1"/>
    <col min="7" max="7" width="13.5703125" customWidth="1"/>
    <col min="8" max="8" width="22" bestFit="1" customWidth="1"/>
    <col min="9" max="9" width="27" bestFit="1" customWidth="1"/>
    <col min="11" max="11" width="46.85546875" customWidth="1"/>
  </cols>
  <sheetData>
    <row r="2" spans="2:13" ht="18.75" x14ac:dyDescent="0.3">
      <c r="B2" s="112" t="s">
        <v>192</v>
      </c>
      <c r="C2" s="112" t="s">
        <v>247</v>
      </c>
      <c r="D2" s="113" t="s">
        <v>248</v>
      </c>
      <c r="E2" s="113" t="s">
        <v>193</v>
      </c>
      <c r="F2" s="30" t="s">
        <v>194</v>
      </c>
      <c r="G2" s="106"/>
      <c r="H2" s="78" t="s">
        <v>250</v>
      </c>
      <c r="I2" s="70" t="s">
        <v>251</v>
      </c>
    </row>
    <row r="3" spans="2:13" ht="15" customHeight="1" x14ac:dyDescent="0.25">
      <c r="B3" s="211" t="s">
        <v>271</v>
      </c>
      <c r="C3" s="212" t="s">
        <v>1</v>
      </c>
      <c r="D3" s="108" t="s">
        <v>158</v>
      </c>
      <c r="E3" s="108" t="s">
        <v>159</v>
      </c>
      <c r="F3" s="109">
        <v>58500</v>
      </c>
      <c r="G3" s="109"/>
      <c r="H3" s="79"/>
      <c r="I3" s="77"/>
    </row>
    <row r="4" spans="2:13" ht="15" customHeight="1" x14ac:dyDescent="0.25">
      <c r="B4" s="211"/>
      <c r="C4" s="212"/>
      <c r="D4" s="120" t="s">
        <v>158</v>
      </c>
      <c r="E4" s="120" t="s">
        <v>160</v>
      </c>
      <c r="F4" s="121">
        <v>53000</v>
      </c>
      <c r="G4" s="121"/>
      <c r="H4" s="79"/>
      <c r="I4" s="77"/>
    </row>
    <row r="5" spans="2:13" x14ac:dyDescent="0.25">
      <c r="B5" s="211"/>
      <c r="C5" s="212"/>
      <c r="D5" s="108" t="s">
        <v>158</v>
      </c>
      <c r="E5" s="108" t="s">
        <v>24</v>
      </c>
      <c r="F5" s="109">
        <v>22900</v>
      </c>
      <c r="G5" s="109"/>
      <c r="H5" s="79"/>
      <c r="I5" s="77"/>
      <c r="K5" s="88" t="s">
        <v>158</v>
      </c>
      <c r="L5" s="88" t="s">
        <v>160</v>
      </c>
      <c r="M5" s="89">
        <v>53000</v>
      </c>
    </row>
    <row r="6" spans="2:13" x14ac:dyDescent="0.25">
      <c r="B6" s="211"/>
      <c r="C6" s="212"/>
      <c r="D6" s="108" t="s">
        <v>158</v>
      </c>
      <c r="E6" s="108" t="s">
        <v>47</v>
      </c>
      <c r="F6" s="109">
        <v>11500</v>
      </c>
      <c r="G6" s="109"/>
      <c r="H6" s="79"/>
      <c r="I6" s="77"/>
      <c r="K6" s="88" t="s">
        <v>161</v>
      </c>
      <c r="L6" s="88" t="s">
        <v>160</v>
      </c>
      <c r="M6" s="89">
        <v>53000</v>
      </c>
    </row>
    <row r="7" spans="2:13" x14ac:dyDescent="0.25">
      <c r="B7" s="211"/>
      <c r="C7" s="212"/>
      <c r="D7" s="108" t="s">
        <v>161</v>
      </c>
      <c r="E7" s="108" t="s">
        <v>159</v>
      </c>
      <c r="F7" s="109">
        <v>58000</v>
      </c>
      <c r="G7" s="109"/>
      <c r="H7" s="79"/>
      <c r="I7" s="77"/>
      <c r="K7" s="88" t="s">
        <v>162</v>
      </c>
      <c r="L7" s="88" t="s">
        <v>160</v>
      </c>
      <c r="M7" s="89">
        <v>54500</v>
      </c>
    </row>
    <row r="8" spans="2:13" x14ac:dyDescent="0.25">
      <c r="B8" s="211"/>
      <c r="C8" s="212"/>
      <c r="D8" s="120" t="s">
        <v>161</v>
      </c>
      <c r="E8" s="120" t="s">
        <v>160</v>
      </c>
      <c r="F8" s="121">
        <v>53000</v>
      </c>
      <c r="G8" s="121"/>
      <c r="H8" s="79"/>
      <c r="I8" s="77"/>
      <c r="K8" s="88" t="s">
        <v>163</v>
      </c>
      <c r="L8" s="88" t="s">
        <v>160</v>
      </c>
      <c r="M8" s="89">
        <v>53000</v>
      </c>
    </row>
    <row r="9" spans="2:13" x14ac:dyDescent="0.25">
      <c r="B9" s="211"/>
      <c r="C9" s="212"/>
      <c r="D9" s="108" t="s">
        <v>161</v>
      </c>
      <c r="E9" s="108" t="s">
        <v>24</v>
      </c>
      <c r="F9" s="109">
        <v>22900</v>
      </c>
      <c r="G9" s="109"/>
      <c r="H9" s="79"/>
      <c r="I9" s="77"/>
      <c r="K9" s="88" t="s">
        <v>164</v>
      </c>
      <c r="L9" s="88" t="s">
        <v>160</v>
      </c>
      <c r="M9" s="89">
        <v>53000</v>
      </c>
    </row>
    <row r="10" spans="2:13" x14ac:dyDescent="0.25">
      <c r="B10" s="211"/>
      <c r="C10" s="212"/>
      <c r="D10" s="108" t="s">
        <v>161</v>
      </c>
      <c r="E10" s="108" t="s">
        <v>47</v>
      </c>
      <c r="F10" s="109">
        <v>11500</v>
      </c>
      <c r="G10" s="109"/>
      <c r="H10" s="79"/>
      <c r="I10" s="77"/>
      <c r="K10" s="88" t="s">
        <v>174</v>
      </c>
      <c r="L10" s="88" t="s">
        <v>160</v>
      </c>
      <c r="M10" s="89">
        <v>42000</v>
      </c>
    </row>
    <row r="11" spans="2:13" x14ac:dyDescent="0.25">
      <c r="B11" s="211"/>
      <c r="C11" s="212"/>
      <c r="D11" s="108" t="s">
        <v>162</v>
      </c>
      <c r="E11" s="108" t="s">
        <v>159</v>
      </c>
      <c r="F11" s="109">
        <v>60500</v>
      </c>
      <c r="G11" s="109"/>
      <c r="H11" s="79"/>
      <c r="I11" s="77"/>
      <c r="K11" s="88" t="s">
        <v>177</v>
      </c>
      <c r="L11" s="88" t="s">
        <v>160</v>
      </c>
      <c r="M11" s="89">
        <v>42000</v>
      </c>
    </row>
    <row r="12" spans="2:13" x14ac:dyDescent="0.25">
      <c r="B12" s="211"/>
      <c r="C12" s="212"/>
      <c r="D12" s="120" t="s">
        <v>162</v>
      </c>
      <c r="E12" s="120" t="s">
        <v>160</v>
      </c>
      <c r="F12" s="121">
        <v>54500</v>
      </c>
      <c r="G12" s="121"/>
      <c r="H12" s="79"/>
      <c r="I12" s="77"/>
      <c r="K12" s="88" t="s">
        <v>176</v>
      </c>
      <c r="L12" s="88" t="s">
        <v>160</v>
      </c>
      <c r="M12" s="89">
        <v>38500</v>
      </c>
    </row>
    <row r="13" spans="2:13" x14ac:dyDescent="0.25">
      <c r="B13" s="211"/>
      <c r="C13" s="212"/>
      <c r="D13" s="108" t="s">
        <v>162</v>
      </c>
      <c r="E13" s="108" t="s">
        <v>24</v>
      </c>
      <c r="F13" s="109">
        <v>24300</v>
      </c>
      <c r="G13" s="109"/>
      <c r="H13" s="79"/>
      <c r="I13" s="77"/>
      <c r="K13" s="88" t="s">
        <v>179</v>
      </c>
      <c r="L13" s="88" t="s">
        <v>160</v>
      </c>
      <c r="M13" s="89">
        <v>42000</v>
      </c>
    </row>
    <row r="14" spans="2:13" x14ac:dyDescent="0.25">
      <c r="B14" s="211"/>
      <c r="C14" s="212"/>
      <c r="D14" s="108" t="s">
        <v>162</v>
      </c>
      <c r="E14" s="108" t="s">
        <v>47</v>
      </c>
      <c r="F14" s="109">
        <v>12500</v>
      </c>
      <c r="G14" s="109"/>
      <c r="H14" s="79"/>
      <c r="I14" s="77"/>
      <c r="K14" s="88" t="s">
        <v>158</v>
      </c>
      <c r="L14" s="88" t="s">
        <v>584</v>
      </c>
      <c r="M14" s="89">
        <v>22900</v>
      </c>
    </row>
    <row r="15" spans="2:13" x14ac:dyDescent="0.25">
      <c r="B15" s="211"/>
      <c r="C15" s="212"/>
      <c r="D15" s="108" t="s">
        <v>162</v>
      </c>
      <c r="E15" s="108" t="s">
        <v>88</v>
      </c>
      <c r="F15" s="109"/>
      <c r="G15" s="109"/>
      <c r="H15" s="79"/>
      <c r="I15" s="77"/>
      <c r="K15" s="88" t="s">
        <v>161</v>
      </c>
      <c r="L15" s="88" t="s">
        <v>584</v>
      </c>
      <c r="M15" s="89">
        <v>22900</v>
      </c>
    </row>
    <row r="16" spans="2:13" x14ac:dyDescent="0.25">
      <c r="B16" s="211"/>
      <c r="C16" s="212"/>
      <c r="D16" s="108" t="s">
        <v>163</v>
      </c>
      <c r="E16" s="108" t="s">
        <v>159</v>
      </c>
      <c r="F16" s="109">
        <v>60000</v>
      </c>
      <c r="G16" s="109"/>
      <c r="H16" s="79"/>
      <c r="I16" s="77"/>
      <c r="K16" s="88" t="s">
        <v>162</v>
      </c>
      <c r="L16" s="88" t="s">
        <v>584</v>
      </c>
      <c r="M16" s="89">
        <v>24300</v>
      </c>
    </row>
    <row r="17" spans="2:13" x14ac:dyDescent="0.25">
      <c r="B17" s="211"/>
      <c r="C17" s="212"/>
      <c r="D17" s="120" t="s">
        <v>163</v>
      </c>
      <c r="E17" s="120" t="s">
        <v>160</v>
      </c>
      <c r="F17" s="121">
        <v>53000</v>
      </c>
      <c r="G17" s="121"/>
      <c r="H17" s="79"/>
      <c r="I17" s="77"/>
      <c r="K17" s="88" t="s">
        <v>163</v>
      </c>
      <c r="L17" s="88" t="s">
        <v>584</v>
      </c>
      <c r="M17" s="89">
        <v>24300</v>
      </c>
    </row>
    <row r="18" spans="2:13" x14ac:dyDescent="0.25">
      <c r="B18" s="211"/>
      <c r="C18" s="212"/>
      <c r="D18" s="108" t="s">
        <v>163</v>
      </c>
      <c r="E18" s="108" t="s">
        <v>24</v>
      </c>
      <c r="F18" s="109">
        <v>24300</v>
      </c>
      <c r="G18" s="109"/>
      <c r="H18" s="79"/>
      <c r="I18" s="77"/>
      <c r="K18" s="88" t="s">
        <v>164</v>
      </c>
      <c r="L18" s="88" t="s">
        <v>584</v>
      </c>
      <c r="M18" s="89">
        <v>22900</v>
      </c>
    </row>
    <row r="19" spans="2:13" x14ac:dyDescent="0.25">
      <c r="B19" s="211"/>
      <c r="C19" s="212"/>
      <c r="D19" s="108" t="s">
        <v>163</v>
      </c>
      <c r="E19" s="108" t="s">
        <v>47</v>
      </c>
      <c r="F19" s="109">
        <v>11500</v>
      </c>
      <c r="G19" s="109"/>
      <c r="H19" s="79"/>
      <c r="I19" s="77"/>
    </row>
    <row r="20" spans="2:13" x14ac:dyDescent="0.25">
      <c r="B20" s="211"/>
      <c r="C20" s="212"/>
      <c r="D20" s="108" t="s">
        <v>164</v>
      </c>
      <c r="E20" s="108" t="s">
        <v>159</v>
      </c>
      <c r="F20" s="109">
        <v>58000</v>
      </c>
      <c r="G20" s="109"/>
      <c r="H20" s="79"/>
      <c r="I20" s="77"/>
    </row>
    <row r="21" spans="2:13" x14ac:dyDescent="0.25">
      <c r="B21" s="211"/>
      <c r="C21" s="212"/>
      <c r="D21" s="120" t="s">
        <v>164</v>
      </c>
      <c r="E21" s="120" t="s">
        <v>165</v>
      </c>
      <c r="F21" s="121">
        <v>53000</v>
      </c>
      <c r="G21" s="121"/>
      <c r="H21" s="79"/>
      <c r="I21" s="77" t="s">
        <v>485</v>
      </c>
    </row>
    <row r="22" spans="2:13" x14ac:dyDescent="0.25">
      <c r="B22" s="211"/>
      <c r="C22" s="212"/>
      <c r="D22" s="108" t="s">
        <v>164</v>
      </c>
      <c r="E22" s="108" t="s">
        <v>24</v>
      </c>
      <c r="F22" s="109">
        <v>22900</v>
      </c>
      <c r="G22" s="109"/>
      <c r="H22" s="79"/>
      <c r="I22" s="77"/>
      <c r="K22" s="14"/>
      <c r="L22" s="14"/>
      <c r="M22" s="14"/>
    </row>
    <row r="23" spans="2:13" x14ac:dyDescent="0.25">
      <c r="B23" s="211"/>
      <c r="C23" s="212"/>
      <c r="D23" s="108" t="s">
        <v>164</v>
      </c>
      <c r="E23" s="108" t="s">
        <v>47</v>
      </c>
      <c r="F23" s="109">
        <v>11500</v>
      </c>
      <c r="G23" s="109"/>
      <c r="H23" s="79"/>
      <c r="I23" s="77"/>
      <c r="K23" s="14"/>
      <c r="L23" s="14"/>
      <c r="M23" s="14"/>
    </row>
    <row r="24" spans="2:13" x14ac:dyDescent="0.25">
      <c r="B24" s="211"/>
      <c r="C24" s="212"/>
      <c r="D24" s="108" t="s">
        <v>164</v>
      </c>
      <c r="E24" s="108" t="s">
        <v>88</v>
      </c>
      <c r="F24" s="109"/>
      <c r="G24" s="109"/>
      <c r="H24" s="79"/>
      <c r="I24" s="77"/>
      <c r="K24" s="14"/>
      <c r="L24" s="14"/>
      <c r="M24" s="14"/>
    </row>
    <row r="25" spans="2:13" x14ac:dyDescent="0.25">
      <c r="B25" s="211" t="s">
        <v>272</v>
      </c>
      <c r="C25" s="212" t="s">
        <v>4</v>
      </c>
      <c r="D25" s="108" t="s">
        <v>173</v>
      </c>
      <c r="E25" s="108" t="s">
        <v>159</v>
      </c>
      <c r="F25" s="109">
        <v>48500</v>
      </c>
      <c r="G25" s="109"/>
      <c r="H25" s="79"/>
      <c r="I25" s="77"/>
      <c r="K25" s="14"/>
      <c r="L25" s="14"/>
      <c r="M25" s="14"/>
    </row>
    <row r="26" spans="2:13" x14ac:dyDescent="0.25">
      <c r="B26" s="211"/>
      <c r="C26" s="212"/>
      <c r="D26" s="108" t="s">
        <v>173</v>
      </c>
      <c r="E26" s="108" t="s">
        <v>21</v>
      </c>
      <c r="F26" s="109">
        <v>37500</v>
      </c>
      <c r="G26" s="109"/>
      <c r="H26" s="79"/>
      <c r="I26" s="77"/>
      <c r="K26" s="14"/>
      <c r="L26" s="14"/>
      <c r="M26" s="14"/>
    </row>
    <row r="27" spans="2:13" x14ac:dyDescent="0.25">
      <c r="B27" s="211"/>
      <c r="C27" s="212"/>
      <c r="D27" s="108" t="s">
        <v>174</v>
      </c>
      <c r="E27" s="108" t="s">
        <v>175</v>
      </c>
      <c r="F27" s="109">
        <v>41000</v>
      </c>
      <c r="G27" s="109"/>
      <c r="H27" s="79"/>
      <c r="I27" s="77"/>
      <c r="K27" s="132" t="s">
        <v>174</v>
      </c>
      <c r="L27" s="132" t="s">
        <v>175</v>
      </c>
      <c r="M27" s="123">
        <v>41000</v>
      </c>
    </row>
    <row r="28" spans="2:13" x14ac:dyDescent="0.25">
      <c r="B28" s="211"/>
      <c r="C28" s="212"/>
      <c r="D28" s="108" t="s">
        <v>173</v>
      </c>
      <c r="E28" s="108" t="s">
        <v>24</v>
      </c>
      <c r="F28" s="109"/>
      <c r="G28" s="109"/>
      <c r="H28" s="79"/>
      <c r="I28" s="77"/>
      <c r="K28" s="132" t="s">
        <v>176</v>
      </c>
      <c r="L28" s="132" t="s">
        <v>175</v>
      </c>
      <c r="M28" s="123">
        <v>37500</v>
      </c>
    </row>
    <row r="29" spans="2:13" x14ac:dyDescent="0.25">
      <c r="B29" s="211"/>
      <c r="C29" s="212"/>
      <c r="D29" s="108" t="s">
        <v>173</v>
      </c>
      <c r="E29" s="108" t="s">
        <v>47</v>
      </c>
      <c r="F29" s="109"/>
      <c r="G29" s="109"/>
      <c r="H29" s="79"/>
      <c r="I29" s="77"/>
      <c r="K29" s="132" t="s">
        <v>579</v>
      </c>
      <c r="L29" s="132" t="s">
        <v>175</v>
      </c>
      <c r="M29" s="123">
        <v>41000</v>
      </c>
    </row>
    <row r="30" spans="2:13" x14ac:dyDescent="0.25">
      <c r="B30" s="211"/>
      <c r="C30" s="212"/>
      <c r="D30" s="108" t="s">
        <v>176</v>
      </c>
      <c r="E30" s="108" t="s">
        <v>159</v>
      </c>
      <c r="F30" s="109">
        <v>43500</v>
      </c>
      <c r="G30" s="109"/>
      <c r="H30" s="79"/>
      <c r="I30" s="77"/>
      <c r="K30" s="132" t="s">
        <v>178</v>
      </c>
      <c r="L30" s="132" t="s">
        <v>175</v>
      </c>
      <c r="M30" s="123">
        <v>41000</v>
      </c>
    </row>
    <row r="31" spans="2:13" x14ac:dyDescent="0.25">
      <c r="B31" s="211"/>
      <c r="C31" s="212"/>
      <c r="D31" s="108" t="s">
        <v>176</v>
      </c>
      <c r="E31" s="108" t="s">
        <v>21</v>
      </c>
      <c r="F31" s="109">
        <v>34300</v>
      </c>
      <c r="G31" s="109"/>
      <c r="H31" s="79"/>
      <c r="I31" s="77"/>
    </row>
    <row r="32" spans="2:13" x14ac:dyDescent="0.25">
      <c r="B32" s="211"/>
      <c r="C32" s="212"/>
      <c r="D32" s="108" t="s">
        <v>176</v>
      </c>
      <c r="E32" s="108" t="s">
        <v>175</v>
      </c>
      <c r="F32" s="109">
        <v>37500</v>
      </c>
      <c r="G32" s="109"/>
      <c r="H32" s="79"/>
      <c r="I32" s="77"/>
    </row>
    <row r="33" spans="2:11" x14ac:dyDescent="0.25">
      <c r="B33" s="211"/>
      <c r="C33" s="212"/>
      <c r="D33" s="108" t="s">
        <v>176</v>
      </c>
      <c r="E33" s="108" t="s">
        <v>459</v>
      </c>
      <c r="F33" s="109">
        <v>34000</v>
      </c>
      <c r="G33" s="109"/>
      <c r="H33" s="79"/>
      <c r="I33" s="77"/>
    </row>
    <row r="34" spans="2:11" x14ac:dyDescent="0.25">
      <c r="B34" s="211"/>
      <c r="C34" s="212"/>
      <c r="D34" s="108" t="s">
        <v>176</v>
      </c>
      <c r="E34" s="108" t="s">
        <v>24</v>
      </c>
      <c r="F34" s="109"/>
      <c r="G34" s="109"/>
      <c r="H34" s="79"/>
      <c r="I34" s="77"/>
    </row>
    <row r="35" spans="2:11" x14ac:dyDescent="0.25">
      <c r="B35" s="211"/>
      <c r="C35" s="212"/>
      <c r="D35" s="108" t="s">
        <v>176</v>
      </c>
      <c r="E35" s="108" t="s">
        <v>47</v>
      </c>
      <c r="F35" s="109"/>
      <c r="G35" s="109"/>
      <c r="H35" s="79"/>
      <c r="I35" s="77"/>
    </row>
    <row r="36" spans="2:11" x14ac:dyDescent="0.25">
      <c r="B36" s="211"/>
      <c r="C36" s="212"/>
      <c r="D36" s="108" t="s">
        <v>177</v>
      </c>
      <c r="E36" s="108" t="s">
        <v>165</v>
      </c>
      <c r="F36" s="109">
        <v>41000</v>
      </c>
      <c r="G36" s="109"/>
      <c r="H36" s="79"/>
      <c r="I36" s="77"/>
    </row>
    <row r="37" spans="2:11" x14ac:dyDescent="0.25">
      <c r="B37" s="211"/>
      <c r="C37" s="212"/>
      <c r="D37" s="108" t="s">
        <v>178</v>
      </c>
      <c r="E37" s="108" t="s">
        <v>159</v>
      </c>
      <c r="F37" s="109">
        <v>48500</v>
      </c>
      <c r="G37" s="109"/>
      <c r="H37" s="79"/>
      <c r="I37" s="77"/>
    </row>
    <row r="38" spans="2:11" x14ac:dyDescent="0.25">
      <c r="B38" s="211"/>
      <c r="C38" s="212"/>
      <c r="D38" s="108" t="s">
        <v>178</v>
      </c>
      <c r="E38" s="108" t="s">
        <v>21</v>
      </c>
      <c r="F38" s="109"/>
      <c r="G38" s="109"/>
      <c r="H38" s="79"/>
      <c r="I38" s="77"/>
    </row>
    <row r="39" spans="2:11" x14ac:dyDescent="0.25">
      <c r="B39" s="211"/>
      <c r="C39" s="212"/>
      <c r="D39" s="108" t="s">
        <v>179</v>
      </c>
      <c r="E39" s="108" t="s">
        <v>175</v>
      </c>
      <c r="F39" s="109">
        <v>41000</v>
      </c>
      <c r="G39" s="109"/>
      <c r="H39" s="79"/>
      <c r="I39" s="77"/>
    </row>
    <row r="40" spans="2:11" x14ac:dyDescent="0.25">
      <c r="B40" s="211"/>
      <c r="C40" s="212"/>
      <c r="D40" s="108" t="s">
        <v>178</v>
      </c>
      <c r="E40" s="108" t="s">
        <v>24</v>
      </c>
      <c r="F40" s="109"/>
      <c r="G40" s="109"/>
      <c r="H40" s="79"/>
      <c r="I40" s="77"/>
    </row>
    <row r="41" spans="2:11" x14ac:dyDescent="0.25">
      <c r="B41" s="211"/>
      <c r="C41" s="212"/>
      <c r="D41" s="108" t="s">
        <v>178</v>
      </c>
      <c r="E41" s="108" t="s">
        <v>47</v>
      </c>
      <c r="F41" s="109"/>
      <c r="G41" s="109"/>
      <c r="H41" s="79"/>
      <c r="I41" s="77"/>
    </row>
    <row r="42" spans="2:11" x14ac:dyDescent="0.25">
      <c r="B42" s="211"/>
      <c r="C42" s="212"/>
      <c r="D42" s="108" t="s">
        <v>180</v>
      </c>
      <c r="E42" s="108" t="s">
        <v>21</v>
      </c>
      <c r="F42" s="109"/>
      <c r="G42" s="109"/>
      <c r="H42" s="79"/>
      <c r="I42" s="77"/>
    </row>
    <row r="43" spans="2:11" x14ac:dyDescent="0.25">
      <c r="B43" s="211"/>
      <c r="C43" s="212"/>
      <c r="D43" s="108" t="s">
        <v>180</v>
      </c>
      <c r="E43" s="108" t="s">
        <v>24</v>
      </c>
      <c r="F43" s="109">
        <v>18000</v>
      </c>
      <c r="G43" s="109"/>
      <c r="H43" s="79"/>
      <c r="I43" s="77"/>
    </row>
    <row r="44" spans="2:11" x14ac:dyDescent="0.25">
      <c r="B44" s="211"/>
      <c r="C44" s="212"/>
      <c r="D44" s="108" t="s">
        <v>181</v>
      </c>
      <c r="E44" s="108" t="s">
        <v>21</v>
      </c>
      <c r="F44" s="109"/>
      <c r="G44" s="109"/>
      <c r="H44" s="79"/>
      <c r="I44" s="77"/>
    </row>
    <row r="45" spans="2:11" x14ac:dyDescent="0.25">
      <c r="B45" s="211"/>
      <c r="C45" s="212"/>
      <c r="D45" s="108" t="s">
        <v>181</v>
      </c>
      <c r="E45" s="108" t="s">
        <v>47</v>
      </c>
      <c r="F45" s="109"/>
      <c r="G45" s="109"/>
      <c r="H45" s="79"/>
      <c r="I45" s="77"/>
    </row>
    <row r="46" spans="2:11" x14ac:dyDescent="0.25">
      <c r="B46" s="110"/>
      <c r="C46" s="110"/>
      <c r="D46" s="110"/>
      <c r="E46" s="110"/>
      <c r="F46" s="110"/>
      <c r="G46" s="110"/>
      <c r="H46" s="79"/>
      <c r="K46">
        <v>0</v>
      </c>
    </row>
    <row r="47" spans="2:11" x14ac:dyDescent="0.25">
      <c r="B47" s="210" t="s">
        <v>256</v>
      </c>
      <c r="C47" s="209" t="s">
        <v>4</v>
      </c>
      <c r="D47" s="108" t="s">
        <v>187</v>
      </c>
      <c r="E47" s="108" t="s">
        <v>159</v>
      </c>
      <c r="F47" s="109">
        <v>33000</v>
      </c>
      <c r="G47" s="109"/>
      <c r="H47" s="79"/>
      <c r="I47" s="77"/>
      <c r="K47">
        <v>0</v>
      </c>
    </row>
    <row r="48" spans="2:11" x14ac:dyDescent="0.25">
      <c r="B48" s="210"/>
      <c r="C48" s="209"/>
      <c r="D48" s="108" t="s">
        <v>187</v>
      </c>
      <c r="E48" s="108" t="s">
        <v>21</v>
      </c>
      <c r="F48" s="109"/>
      <c r="G48" s="109"/>
      <c r="H48" s="79"/>
      <c r="I48" s="77"/>
    </row>
    <row r="49" spans="2:12" x14ac:dyDescent="0.25">
      <c r="B49" s="210"/>
      <c r="C49" s="209"/>
      <c r="D49" s="108" t="s">
        <v>188</v>
      </c>
      <c r="E49" s="108" t="s">
        <v>159</v>
      </c>
      <c r="F49" s="109">
        <v>33000</v>
      </c>
      <c r="G49" s="109"/>
      <c r="H49" s="79"/>
      <c r="I49" s="77"/>
    </row>
    <row r="50" spans="2:12" x14ac:dyDescent="0.25">
      <c r="B50" s="210"/>
      <c r="C50" s="209"/>
      <c r="D50" s="108" t="s">
        <v>188</v>
      </c>
      <c r="E50" s="108" t="s">
        <v>21</v>
      </c>
      <c r="F50" s="109">
        <v>27000</v>
      </c>
      <c r="G50" s="109"/>
      <c r="H50" s="79"/>
      <c r="I50" s="77"/>
    </row>
    <row r="51" spans="2:12" ht="26.25" x14ac:dyDescent="0.4">
      <c r="B51" s="111"/>
      <c r="C51" s="110"/>
      <c r="D51" s="110"/>
      <c r="E51" s="110"/>
      <c r="F51" s="110" t="s">
        <v>590</v>
      </c>
      <c r="G51" s="110"/>
      <c r="H51" s="79" t="s">
        <v>589</v>
      </c>
    </row>
    <row r="52" spans="2:12" x14ac:dyDescent="0.25">
      <c r="B52" s="210" t="s">
        <v>257</v>
      </c>
      <c r="C52" s="209" t="s">
        <v>4</v>
      </c>
      <c r="D52" s="108" t="s">
        <v>182</v>
      </c>
      <c r="E52" s="108" t="s">
        <v>183</v>
      </c>
      <c r="F52" s="109">
        <v>31500</v>
      </c>
      <c r="G52" s="109"/>
      <c r="H52" s="123">
        <v>33000</v>
      </c>
      <c r="I52" s="77"/>
    </row>
    <row r="53" spans="2:12" x14ac:dyDescent="0.25">
      <c r="B53" s="210"/>
      <c r="C53" s="209"/>
      <c r="D53" s="108" t="s">
        <v>184</v>
      </c>
      <c r="E53" s="108" t="s">
        <v>183</v>
      </c>
      <c r="F53" s="109">
        <v>29500</v>
      </c>
      <c r="G53" s="109"/>
      <c r="H53" s="123">
        <v>33000</v>
      </c>
      <c r="I53" s="77"/>
      <c r="L53" t="s">
        <v>624</v>
      </c>
    </row>
    <row r="54" spans="2:12" x14ac:dyDescent="0.25">
      <c r="B54" s="210"/>
      <c r="C54" s="209"/>
      <c r="D54" s="108" t="s">
        <v>185</v>
      </c>
      <c r="E54" s="108" t="s">
        <v>183</v>
      </c>
      <c r="F54" s="109">
        <v>29500</v>
      </c>
      <c r="G54" s="109"/>
      <c r="H54" s="123">
        <v>34000</v>
      </c>
      <c r="I54" s="77"/>
    </row>
    <row r="55" spans="2:12" x14ac:dyDescent="0.25">
      <c r="B55" s="210"/>
      <c r="C55" s="209"/>
      <c r="D55" s="108" t="s">
        <v>186</v>
      </c>
      <c r="E55" s="108" t="s">
        <v>41</v>
      </c>
      <c r="F55" s="109">
        <v>25000</v>
      </c>
      <c r="G55" s="109"/>
      <c r="H55" s="123">
        <v>27500</v>
      </c>
      <c r="I55" s="77"/>
    </row>
    <row r="56" spans="2:12" x14ac:dyDescent="0.25">
      <c r="B56" s="210"/>
      <c r="C56" s="209" t="s">
        <v>1</v>
      </c>
      <c r="D56" s="108" t="s">
        <v>166</v>
      </c>
      <c r="E56" s="108" t="s">
        <v>167</v>
      </c>
      <c r="F56" s="109">
        <v>22500</v>
      </c>
      <c r="G56" s="109">
        <v>23000</v>
      </c>
      <c r="H56" s="123">
        <v>27500</v>
      </c>
      <c r="I56" s="77"/>
    </row>
    <row r="57" spans="2:12" x14ac:dyDescent="0.25">
      <c r="B57" s="210"/>
      <c r="C57" s="209"/>
      <c r="D57" s="108" t="s">
        <v>458</v>
      </c>
      <c r="E57" s="108" t="s">
        <v>191</v>
      </c>
      <c r="F57" s="109">
        <v>22500</v>
      </c>
      <c r="G57" s="109">
        <v>23000</v>
      </c>
      <c r="H57" s="123">
        <v>27500</v>
      </c>
      <c r="I57" s="77"/>
    </row>
    <row r="58" spans="2:12" x14ac:dyDescent="0.25">
      <c r="B58" s="210"/>
      <c r="C58" s="209"/>
      <c r="D58" s="108" t="s">
        <v>168</v>
      </c>
      <c r="E58" s="108" t="s">
        <v>167</v>
      </c>
      <c r="F58" s="109">
        <v>22500</v>
      </c>
      <c r="G58" s="109">
        <v>23000</v>
      </c>
      <c r="H58" s="124">
        <v>27500</v>
      </c>
      <c r="I58" s="77"/>
    </row>
    <row r="59" spans="2:12" x14ac:dyDescent="0.25">
      <c r="B59" s="210"/>
      <c r="C59" s="209"/>
      <c r="D59" s="108" t="s">
        <v>169</v>
      </c>
      <c r="E59" s="108" t="s">
        <v>167</v>
      </c>
      <c r="F59" s="109">
        <v>22500</v>
      </c>
      <c r="G59" s="109">
        <v>23000</v>
      </c>
      <c r="H59" s="124">
        <v>27500</v>
      </c>
      <c r="I59" s="77"/>
    </row>
    <row r="60" spans="2:12" ht="26.25" x14ac:dyDescent="0.4">
      <c r="B60" s="111"/>
      <c r="C60" s="110"/>
      <c r="D60" s="110"/>
      <c r="E60" s="110"/>
      <c r="F60" s="110"/>
      <c r="G60" s="110"/>
      <c r="H60" s="79"/>
    </row>
    <row r="61" spans="2:12" x14ac:dyDescent="0.25">
      <c r="B61" s="210" t="s">
        <v>258</v>
      </c>
      <c r="C61" s="209" t="s">
        <v>1</v>
      </c>
      <c r="D61" s="108" t="s">
        <v>170</v>
      </c>
      <c r="E61" s="108" t="s">
        <v>24</v>
      </c>
      <c r="F61" s="109">
        <v>15000</v>
      </c>
      <c r="G61" s="109"/>
      <c r="H61" s="79"/>
      <c r="I61" s="77"/>
    </row>
    <row r="62" spans="2:12" x14ac:dyDescent="0.25">
      <c r="B62" s="210"/>
      <c r="C62" s="209"/>
      <c r="D62" s="108" t="s">
        <v>171</v>
      </c>
      <c r="E62" s="108" t="s">
        <v>41</v>
      </c>
      <c r="F62" s="109">
        <v>26500</v>
      </c>
      <c r="G62" s="109"/>
      <c r="H62" s="79"/>
      <c r="I62" s="77"/>
    </row>
    <row r="63" spans="2:12" x14ac:dyDescent="0.25">
      <c r="B63" s="210"/>
      <c r="C63" s="209"/>
      <c r="D63" s="108" t="s">
        <v>172</v>
      </c>
      <c r="E63" s="108" t="s">
        <v>41</v>
      </c>
      <c r="F63" s="109">
        <v>26500</v>
      </c>
      <c r="G63" s="109"/>
      <c r="H63" s="79"/>
      <c r="I63" s="77"/>
    </row>
    <row r="65" spans="3:7" ht="18.75" x14ac:dyDescent="0.3">
      <c r="D65" s="51" t="s">
        <v>623</v>
      </c>
      <c r="E65" s="51" t="s">
        <v>193</v>
      </c>
      <c r="F65" s="30" t="s">
        <v>194</v>
      </c>
      <c r="G65" s="30" t="s">
        <v>589</v>
      </c>
    </row>
    <row r="66" spans="3:7" ht="15" customHeight="1" x14ac:dyDescent="0.25">
      <c r="C66" s="129"/>
      <c r="D66" s="133" t="s">
        <v>621</v>
      </c>
      <c r="E66" s="133" t="s">
        <v>41</v>
      </c>
      <c r="F66" s="9">
        <v>29500</v>
      </c>
      <c r="G66" s="9">
        <v>33000</v>
      </c>
    </row>
    <row r="67" spans="3:7" ht="15" customHeight="1" x14ac:dyDescent="0.25">
      <c r="C67" s="129"/>
      <c r="D67" s="133" t="s">
        <v>622</v>
      </c>
      <c r="E67" s="133" t="s">
        <v>41</v>
      </c>
      <c r="F67" s="9">
        <v>28300</v>
      </c>
      <c r="G67" s="9">
        <v>32000</v>
      </c>
    </row>
    <row r="68" spans="3:7" ht="15" customHeight="1" x14ac:dyDescent="0.25">
      <c r="C68" s="129"/>
      <c r="D68" s="128"/>
      <c r="E68" s="128"/>
      <c r="F68" s="53"/>
      <c r="G68" s="53"/>
    </row>
    <row r="69" spans="3:7" ht="15" customHeight="1" x14ac:dyDescent="0.25">
      <c r="C69" s="129"/>
      <c r="D69" s="128"/>
      <c r="E69" s="128"/>
      <c r="F69" s="53"/>
      <c r="G69" s="53"/>
    </row>
  </sheetData>
  <mergeCells count="11">
    <mergeCell ref="C56:C59"/>
    <mergeCell ref="C61:C63"/>
    <mergeCell ref="B61:B63"/>
    <mergeCell ref="B52:B59"/>
    <mergeCell ref="B3:B24"/>
    <mergeCell ref="B25:B45"/>
    <mergeCell ref="C3:C24"/>
    <mergeCell ref="C25:C45"/>
    <mergeCell ref="C47:C50"/>
    <mergeCell ref="B47:B50"/>
    <mergeCell ref="C52:C55"/>
  </mergeCells>
  <pageMargins left="1" right="1" top="1" bottom="1" header="0.5" footer="0.5"/>
  <pageSetup scale="35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176"/>
  <sheetViews>
    <sheetView zoomScale="85" zoomScaleNormal="85" workbookViewId="0">
      <selection activeCell="R15" sqref="R15"/>
    </sheetView>
  </sheetViews>
  <sheetFormatPr baseColWidth="10" defaultColWidth="9.140625" defaultRowHeight="15" x14ac:dyDescent="0.25"/>
  <cols>
    <col min="2" max="2" width="20.5703125" bestFit="1" customWidth="1"/>
    <col min="3" max="3" width="14.140625" bestFit="1" customWidth="1"/>
    <col min="4" max="4" width="48.42578125" bestFit="1" customWidth="1"/>
    <col min="5" max="5" width="7.85546875" hidden="1" customWidth="1"/>
    <col min="6" max="6" width="18" hidden="1" customWidth="1"/>
    <col min="7" max="7" width="19.5703125" hidden="1" customWidth="1"/>
    <col min="8" max="9" width="22.28515625" hidden="1" customWidth="1"/>
    <col min="10" max="10" width="2.28515625" hidden="1" customWidth="1"/>
    <col min="11" max="11" width="17.42578125" hidden="1" customWidth="1"/>
    <col min="12" max="12" width="9.140625" hidden="1" customWidth="1"/>
    <col min="13" max="13" width="16" bestFit="1" customWidth="1"/>
    <col min="14" max="14" width="19.5703125" bestFit="1" customWidth="1"/>
  </cols>
  <sheetData>
    <row r="2" spans="2:14" ht="21" x14ac:dyDescent="0.35">
      <c r="B2" s="158" t="s">
        <v>192</v>
      </c>
      <c r="C2" s="158" t="s">
        <v>247</v>
      </c>
      <c r="D2" s="159" t="s">
        <v>248</v>
      </c>
      <c r="E2" s="159" t="s">
        <v>707</v>
      </c>
      <c r="F2" s="160" t="s">
        <v>706</v>
      </c>
      <c r="G2" s="161" t="s">
        <v>708</v>
      </c>
      <c r="H2" s="161" t="s">
        <v>710</v>
      </c>
      <c r="I2" s="161" t="s">
        <v>711</v>
      </c>
      <c r="J2" s="157"/>
      <c r="K2" s="159" t="s">
        <v>709</v>
      </c>
      <c r="M2" s="159" t="s">
        <v>578</v>
      </c>
      <c r="N2" s="159" t="s">
        <v>498</v>
      </c>
    </row>
    <row r="3" spans="2:14" ht="15" customHeight="1" x14ac:dyDescent="0.25">
      <c r="B3" s="181" t="s">
        <v>704</v>
      </c>
      <c r="C3" s="162" t="s">
        <v>1</v>
      </c>
      <c r="D3" s="162" t="s">
        <v>713</v>
      </c>
      <c r="E3" s="162">
        <v>1</v>
      </c>
      <c r="F3" s="163">
        <v>6</v>
      </c>
      <c r="G3" s="164">
        <v>107582</v>
      </c>
      <c r="H3" s="165">
        <f>+G3/F3</f>
        <v>17930.333333333332</v>
      </c>
      <c r="I3" s="164">
        <f>+H3*1.19</f>
        <v>21337.096666666665</v>
      </c>
      <c r="K3" s="13">
        <f>+I3*F3</f>
        <v>128022.57999999999</v>
      </c>
      <c r="L3" s="12"/>
      <c r="M3" s="164">
        <v>22100</v>
      </c>
      <c r="N3" s="164">
        <v>23500</v>
      </c>
    </row>
    <row r="4" spans="2:14" ht="15" customHeight="1" x14ac:dyDescent="0.25">
      <c r="B4" s="181"/>
      <c r="C4" s="162" t="s">
        <v>4</v>
      </c>
      <c r="D4" s="162" t="s">
        <v>714</v>
      </c>
      <c r="E4" s="162">
        <v>1</v>
      </c>
      <c r="F4" s="163">
        <v>6</v>
      </c>
      <c r="G4" s="164">
        <v>84042</v>
      </c>
      <c r="H4" s="165">
        <f t="shared" ref="H4:H19" si="0">+G4/F4</f>
        <v>14007</v>
      </c>
      <c r="I4" s="164">
        <f t="shared" ref="I4:I19" si="1">+H4*1.19</f>
        <v>16668.329999999998</v>
      </c>
      <c r="K4" s="13">
        <f t="shared" ref="K4:K19" si="2">+I4*F4</f>
        <v>100009.97999999998</v>
      </c>
      <c r="L4" s="12"/>
      <c r="M4" s="164">
        <v>17500</v>
      </c>
      <c r="N4" s="164">
        <v>18500</v>
      </c>
    </row>
    <row r="5" spans="2:14" ht="15" customHeight="1" x14ac:dyDescent="0.25">
      <c r="B5" s="181"/>
      <c r="C5" s="162" t="s">
        <v>4</v>
      </c>
      <c r="D5" s="162" t="s">
        <v>715</v>
      </c>
      <c r="E5" s="162">
        <v>1</v>
      </c>
      <c r="F5" s="163">
        <v>6</v>
      </c>
      <c r="G5" s="164">
        <v>88280</v>
      </c>
      <c r="H5" s="165">
        <f t="shared" si="0"/>
        <v>14713.333333333334</v>
      </c>
      <c r="I5" s="164">
        <f t="shared" si="1"/>
        <v>17508.866666666665</v>
      </c>
      <c r="K5" s="13">
        <f t="shared" si="2"/>
        <v>105053.19999999998</v>
      </c>
      <c r="L5" s="12"/>
      <c r="M5" s="164">
        <v>18500</v>
      </c>
      <c r="N5" s="164">
        <v>19500</v>
      </c>
    </row>
    <row r="6" spans="2:14" ht="15" customHeight="1" x14ac:dyDescent="0.25">
      <c r="B6" s="181"/>
      <c r="C6" s="162" t="s">
        <v>4</v>
      </c>
      <c r="D6" s="162" t="s">
        <v>716</v>
      </c>
      <c r="E6" s="162">
        <v>1</v>
      </c>
      <c r="F6" s="163">
        <v>6</v>
      </c>
      <c r="G6" s="164">
        <v>88412</v>
      </c>
      <c r="H6" s="165">
        <f t="shared" si="0"/>
        <v>14735.333333333334</v>
      </c>
      <c r="I6" s="164">
        <f t="shared" si="1"/>
        <v>17535.046666666665</v>
      </c>
      <c r="K6" s="13">
        <f t="shared" si="2"/>
        <v>105210.28</v>
      </c>
      <c r="L6" s="12"/>
      <c r="M6" s="164">
        <v>18500</v>
      </c>
      <c r="N6" s="164">
        <v>19500</v>
      </c>
    </row>
    <row r="7" spans="2:14" ht="15" customHeight="1" x14ac:dyDescent="0.25">
      <c r="B7" s="181"/>
      <c r="C7" s="162" t="s">
        <v>4</v>
      </c>
      <c r="D7" s="162" t="s">
        <v>717</v>
      </c>
      <c r="E7" s="162">
        <v>1</v>
      </c>
      <c r="F7" s="163">
        <v>6</v>
      </c>
      <c r="G7" s="164">
        <v>33597</v>
      </c>
      <c r="H7" s="165">
        <f t="shared" si="0"/>
        <v>5599.5</v>
      </c>
      <c r="I7" s="164">
        <f t="shared" si="1"/>
        <v>6663.4049999999997</v>
      </c>
      <c r="K7" s="13">
        <f t="shared" si="2"/>
        <v>39980.43</v>
      </c>
      <c r="L7" s="12"/>
      <c r="M7" s="164">
        <v>7000</v>
      </c>
      <c r="N7" s="164">
        <v>7500</v>
      </c>
    </row>
    <row r="8" spans="2:14" ht="15" customHeight="1" x14ac:dyDescent="0.25">
      <c r="B8" s="181"/>
      <c r="C8" s="162" t="s">
        <v>1</v>
      </c>
      <c r="D8" s="162" t="s">
        <v>718</v>
      </c>
      <c r="E8" s="162">
        <v>1</v>
      </c>
      <c r="F8" s="163">
        <v>6</v>
      </c>
      <c r="G8" s="164">
        <v>97492</v>
      </c>
      <c r="H8" s="165">
        <f t="shared" si="0"/>
        <v>16248.666666666666</v>
      </c>
      <c r="I8" s="164">
        <f t="shared" si="1"/>
        <v>19335.91333333333</v>
      </c>
      <c r="K8" s="13">
        <f t="shared" si="2"/>
        <v>116015.47999999998</v>
      </c>
      <c r="L8" s="12"/>
      <c r="M8" s="164">
        <v>20500</v>
      </c>
      <c r="N8" s="164">
        <v>21500</v>
      </c>
    </row>
    <row r="9" spans="2:14" ht="15" customHeight="1" x14ac:dyDescent="0.25">
      <c r="B9" s="181"/>
      <c r="C9" s="162" t="s">
        <v>1</v>
      </c>
      <c r="D9" s="162" t="s">
        <v>719</v>
      </c>
      <c r="E9" s="162">
        <v>1</v>
      </c>
      <c r="F9" s="163">
        <v>6</v>
      </c>
      <c r="G9" s="164">
        <v>107582</v>
      </c>
      <c r="H9" s="165">
        <f t="shared" si="0"/>
        <v>17930.333333333332</v>
      </c>
      <c r="I9" s="164">
        <f t="shared" si="1"/>
        <v>21337.096666666665</v>
      </c>
      <c r="K9" s="13">
        <f t="shared" si="2"/>
        <v>128022.57999999999</v>
      </c>
      <c r="L9" s="12"/>
      <c r="M9" s="164">
        <v>22500</v>
      </c>
      <c r="N9" s="164">
        <v>23500</v>
      </c>
    </row>
    <row r="10" spans="2:14" ht="15" customHeight="1" x14ac:dyDescent="0.25">
      <c r="B10" s="181"/>
      <c r="C10" s="162" t="s">
        <v>1</v>
      </c>
      <c r="D10" s="162" t="s">
        <v>720</v>
      </c>
      <c r="E10" s="162">
        <v>1</v>
      </c>
      <c r="F10" s="163">
        <v>6</v>
      </c>
      <c r="G10" s="164">
        <v>107582</v>
      </c>
      <c r="H10" s="165">
        <f t="shared" si="0"/>
        <v>17930.333333333332</v>
      </c>
      <c r="I10" s="164">
        <f t="shared" si="1"/>
        <v>21337.096666666665</v>
      </c>
      <c r="K10" s="13">
        <f t="shared" si="2"/>
        <v>128022.57999999999</v>
      </c>
      <c r="L10" s="12"/>
      <c r="M10" s="164">
        <v>22500</v>
      </c>
      <c r="N10" s="164">
        <v>23500</v>
      </c>
    </row>
    <row r="11" spans="2:14" ht="15" customHeight="1" x14ac:dyDescent="0.25">
      <c r="B11" s="181"/>
      <c r="C11" s="162" t="s">
        <v>1</v>
      </c>
      <c r="D11" s="162" t="s">
        <v>721</v>
      </c>
      <c r="E11" s="162">
        <v>1</v>
      </c>
      <c r="F11" s="163">
        <v>6</v>
      </c>
      <c r="G11" s="164">
        <v>42373</v>
      </c>
      <c r="H11" s="165">
        <f t="shared" si="0"/>
        <v>7062.166666666667</v>
      </c>
      <c r="I11" s="164">
        <f t="shared" si="1"/>
        <v>8403.9783333333326</v>
      </c>
      <c r="K11" s="13">
        <f t="shared" si="2"/>
        <v>50423.869999999995</v>
      </c>
      <c r="L11" s="12"/>
      <c r="M11" s="164">
        <v>9000</v>
      </c>
      <c r="N11" s="164">
        <v>9500</v>
      </c>
    </row>
    <row r="12" spans="2:14" ht="15" customHeight="1" x14ac:dyDescent="0.25">
      <c r="B12" s="181"/>
      <c r="C12" s="162" t="s">
        <v>1</v>
      </c>
      <c r="D12" s="162" t="s">
        <v>722</v>
      </c>
      <c r="E12" s="162">
        <v>1</v>
      </c>
      <c r="F12" s="163">
        <v>6</v>
      </c>
      <c r="G12" s="164">
        <v>131126</v>
      </c>
      <c r="H12" s="165">
        <f t="shared" si="0"/>
        <v>21854.333333333332</v>
      </c>
      <c r="I12" s="164">
        <f t="shared" si="1"/>
        <v>26006.656666666666</v>
      </c>
      <c r="K12" s="13">
        <f t="shared" si="2"/>
        <v>156039.94</v>
      </c>
      <c r="L12" s="12"/>
      <c r="M12" s="164">
        <v>27000</v>
      </c>
      <c r="N12" s="164">
        <v>28500</v>
      </c>
    </row>
    <row r="13" spans="2:14" ht="15" customHeight="1" x14ac:dyDescent="0.25">
      <c r="B13" s="181"/>
      <c r="C13" s="162" t="s">
        <v>4</v>
      </c>
      <c r="D13" s="162" t="s">
        <v>723</v>
      </c>
      <c r="E13" s="162">
        <v>1</v>
      </c>
      <c r="F13" s="163">
        <v>6</v>
      </c>
      <c r="G13" s="164">
        <v>88456</v>
      </c>
      <c r="H13" s="165">
        <f t="shared" si="0"/>
        <v>14742.666666666666</v>
      </c>
      <c r="I13" s="164">
        <f t="shared" si="1"/>
        <v>17543.773333333331</v>
      </c>
      <c r="K13" s="13">
        <f t="shared" si="2"/>
        <v>105262.63999999998</v>
      </c>
      <c r="L13" s="12"/>
      <c r="M13" s="164">
        <v>18500</v>
      </c>
      <c r="N13" s="164">
        <v>19500</v>
      </c>
    </row>
    <row r="14" spans="2:14" ht="15" customHeight="1" x14ac:dyDescent="0.25">
      <c r="B14" s="181"/>
      <c r="C14" s="162" t="s">
        <v>4</v>
      </c>
      <c r="D14" s="162" t="s">
        <v>705</v>
      </c>
      <c r="E14" s="162">
        <v>2</v>
      </c>
      <c r="F14" s="163">
        <v>1</v>
      </c>
      <c r="G14" s="164">
        <v>72090</v>
      </c>
      <c r="H14" s="165">
        <f>+G14/E14</f>
        <v>36045</v>
      </c>
      <c r="I14" s="164">
        <f t="shared" si="1"/>
        <v>42893.549999999996</v>
      </c>
      <c r="K14" s="13">
        <f t="shared" si="2"/>
        <v>42893.549999999996</v>
      </c>
      <c r="L14" s="12"/>
      <c r="M14" s="164">
        <v>43500</v>
      </c>
      <c r="N14" s="164">
        <v>47500</v>
      </c>
    </row>
    <row r="15" spans="2:14" ht="15" customHeight="1" x14ac:dyDescent="0.25">
      <c r="B15" s="181"/>
      <c r="C15" s="162" t="s">
        <v>4</v>
      </c>
      <c r="D15" s="162" t="s">
        <v>724</v>
      </c>
      <c r="E15" s="162">
        <v>1</v>
      </c>
      <c r="F15" s="163">
        <v>6</v>
      </c>
      <c r="G15" s="164">
        <v>88456</v>
      </c>
      <c r="H15" s="165">
        <f t="shared" si="0"/>
        <v>14742.666666666666</v>
      </c>
      <c r="I15" s="164">
        <f t="shared" si="1"/>
        <v>17543.773333333331</v>
      </c>
      <c r="K15" s="13">
        <f t="shared" si="2"/>
        <v>105262.63999999998</v>
      </c>
      <c r="L15" s="12"/>
      <c r="M15" s="164">
        <v>18500</v>
      </c>
      <c r="N15" s="164">
        <v>19500</v>
      </c>
    </row>
    <row r="16" spans="2:14" ht="15" customHeight="1" x14ac:dyDescent="0.25">
      <c r="B16" s="181"/>
      <c r="C16" s="162" t="s">
        <v>4</v>
      </c>
      <c r="D16" s="162" t="s">
        <v>725</v>
      </c>
      <c r="E16" s="162">
        <v>1</v>
      </c>
      <c r="F16" s="163">
        <v>8</v>
      </c>
      <c r="G16" s="164">
        <v>109200</v>
      </c>
      <c r="H16" s="165">
        <f t="shared" si="0"/>
        <v>13650</v>
      </c>
      <c r="I16" s="164">
        <f t="shared" si="1"/>
        <v>16243.5</v>
      </c>
      <c r="K16" s="13">
        <f t="shared" si="2"/>
        <v>129948</v>
      </c>
      <c r="L16" s="12"/>
      <c r="M16" s="164">
        <v>17500</v>
      </c>
      <c r="N16" s="164">
        <v>18000</v>
      </c>
    </row>
    <row r="17" spans="2:14" ht="15" customHeight="1" x14ac:dyDescent="0.25">
      <c r="B17" s="181"/>
      <c r="C17" s="162" t="s">
        <v>4</v>
      </c>
      <c r="D17" s="162" t="s">
        <v>726</v>
      </c>
      <c r="E17" s="162">
        <v>1</v>
      </c>
      <c r="F17" s="163">
        <v>6</v>
      </c>
      <c r="G17" s="164">
        <v>88456</v>
      </c>
      <c r="H17" s="165">
        <f t="shared" si="0"/>
        <v>14742.666666666666</v>
      </c>
      <c r="I17" s="164">
        <f t="shared" si="1"/>
        <v>17543.773333333331</v>
      </c>
      <c r="K17" s="13">
        <f t="shared" si="2"/>
        <v>105262.63999999998</v>
      </c>
      <c r="L17" s="12"/>
      <c r="M17" s="164">
        <v>18500</v>
      </c>
      <c r="N17" s="164">
        <v>19500</v>
      </c>
    </row>
    <row r="18" spans="2:14" ht="15" customHeight="1" x14ac:dyDescent="0.25">
      <c r="B18" s="181"/>
      <c r="C18" s="162" t="s">
        <v>4</v>
      </c>
      <c r="D18" s="162" t="s">
        <v>727</v>
      </c>
      <c r="E18" s="162">
        <v>1</v>
      </c>
      <c r="F18" s="163">
        <v>12</v>
      </c>
      <c r="G18" s="164">
        <v>30085</v>
      </c>
      <c r="H18" s="165">
        <f t="shared" si="0"/>
        <v>2507.0833333333335</v>
      </c>
      <c r="I18" s="164">
        <f t="shared" si="1"/>
        <v>2983.4291666666668</v>
      </c>
      <c r="K18" s="13">
        <f t="shared" si="2"/>
        <v>35801.15</v>
      </c>
      <c r="L18" s="12"/>
      <c r="M18" s="164">
        <v>3500</v>
      </c>
      <c r="N18" s="164">
        <v>3500</v>
      </c>
    </row>
    <row r="19" spans="2:14" ht="15" customHeight="1" x14ac:dyDescent="0.25">
      <c r="B19" s="181"/>
      <c r="C19" s="162" t="s">
        <v>4</v>
      </c>
      <c r="D19" s="162" t="s">
        <v>728</v>
      </c>
      <c r="E19" s="162">
        <v>1</v>
      </c>
      <c r="F19" s="163">
        <v>24</v>
      </c>
      <c r="G19" s="164">
        <v>53742</v>
      </c>
      <c r="H19" s="165">
        <f t="shared" si="0"/>
        <v>2239.25</v>
      </c>
      <c r="I19" s="164">
        <f t="shared" si="1"/>
        <v>2664.7075</v>
      </c>
      <c r="K19" s="13">
        <f t="shared" si="2"/>
        <v>63952.979999999996</v>
      </c>
      <c r="L19" s="12"/>
      <c r="M19" s="164">
        <v>3500</v>
      </c>
      <c r="N19" s="164">
        <v>3500</v>
      </c>
    </row>
    <row r="20" spans="2:14" ht="15" customHeight="1" x14ac:dyDescent="0.25">
      <c r="B20" s="156"/>
      <c r="C20" s="155"/>
      <c r="D20" s="128"/>
      <c r="E20" s="128"/>
      <c r="F20" s="53"/>
      <c r="K20" s="12"/>
      <c r="L20" s="12"/>
      <c r="M20" s="12"/>
      <c r="N20" s="12"/>
    </row>
    <row r="21" spans="2:14" ht="15" customHeight="1" x14ac:dyDescent="0.25">
      <c r="B21" s="156"/>
      <c r="C21" s="155"/>
      <c r="D21" s="128"/>
      <c r="E21" s="128"/>
      <c r="F21" s="53"/>
      <c r="I21" s="2" t="s">
        <v>712</v>
      </c>
      <c r="K21" s="13">
        <f>SUM(K3:K20)</f>
        <v>1645184.5199999996</v>
      </c>
      <c r="L21" s="12"/>
      <c r="M21" s="12"/>
      <c r="N21" s="12"/>
    </row>
    <row r="22" spans="2:14" ht="15" customHeight="1" x14ac:dyDescent="0.25">
      <c r="B22" s="156"/>
      <c r="C22" s="155"/>
      <c r="D22" s="128"/>
      <c r="E22" s="128"/>
      <c r="F22" s="53"/>
    </row>
    <row r="23" spans="2:14" ht="15" customHeight="1" x14ac:dyDescent="0.25">
      <c r="B23" s="156"/>
      <c r="C23" s="155"/>
      <c r="D23" s="128"/>
      <c r="E23" s="128"/>
      <c r="F23" s="53"/>
    </row>
    <row r="24" spans="2:14" ht="15" customHeight="1" x14ac:dyDescent="0.25">
      <c r="B24" s="156"/>
      <c r="C24" s="155"/>
      <c r="D24" s="128"/>
      <c r="E24" s="128"/>
      <c r="F24" s="53"/>
    </row>
    <row r="25" spans="2:14" ht="15" customHeight="1" x14ac:dyDescent="0.25">
      <c r="B25" s="156"/>
      <c r="C25" s="155"/>
      <c r="D25" s="128"/>
      <c r="E25" s="128"/>
      <c r="F25" s="53"/>
    </row>
    <row r="26" spans="2:14" ht="15" customHeight="1" x14ac:dyDescent="0.25">
      <c r="B26" s="156"/>
      <c r="C26" s="155"/>
      <c r="D26" s="128"/>
      <c r="E26" s="128"/>
      <c r="F26" s="53"/>
    </row>
    <row r="27" spans="2:14" ht="15" customHeight="1" x14ac:dyDescent="0.25">
      <c r="B27" s="156"/>
      <c r="C27" s="155"/>
      <c r="D27" s="128"/>
      <c r="E27" s="128"/>
      <c r="F27" s="53"/>
    </row>
    <row r="28" spans="2:14" ht="15" customHeight="1" x14ac:dyDescent="0.25">
      <c r="B28" s="156"/>
      <c r="C28" s="155"/>
      <c r="D28" s="128"/>
      <c r="E28" s="128"/>
      <c r="F28" s="53"/>
    </row>
    <row r="29" spans="2:14" ht="15" customHeight="1" x14ac:dyDescent="0.25">
      <c r="B29" s="156"/>
      <c r="C29" s="155"/>
      <c r="D29" s="128"/>
      <c r="E29" s="128"/>
      <c r="F29" s="53"/>
    </row>
    <row r="30" spans="2:14" ht="15" customHeight="1" x14ac:dyDescent="0.25">
      <c r="B30" s="156"/>
      <c r="C30" s="155"/>
      <c r="D30" s="128"/>
      <c r="E30" s="128"/>
      <c r="F30" s="53"/>
    </row>
    <row r="31" spans="2:14" ht="15" customHeight="1" x14ac:dyDescent="0.25">
      <c r="B31" s="156"/>
      <c r="C31" s="155"/>
      <c r="D31" s="128"/>
      <c r="E31" s="128"/>
      <c r="F31" s="53"/>
    </row>
    <row r="32" spans="2:14" ht="15" customHeight="1" x14ac:dyDescent="0.25">
      <c r="B32" s="156"/>
      <c r="C32" s="155"/>
      <c r="D32" s="128"/>
      <c r="E32" s="128"/>
      <c r="F32" s="53"/>
    </row>
    <row r="33" spans="2:6" ht="15" customHeight="1" x14ac:dyDescent="0.25">
      <c r="B33" s="156"/>
      <c r="C33" s="155"/>
      <c r="D33" s="128"/>
      <c r="E33" s="128"/>
      <c r="F33" s="53"/>
    </row>
    <row r="34" spans="2:6" ht="15" customHeight="1" x14ac:dyDescent="0.25">
      <c r="B34" s="156"/>
      <c r="C34" s="155"/>
      <c r="D34" s="128"/>
      <c r="E34" s="128"/>
      <c r="F34" s="53"/>
    </row>
    <row r="35" spans="2:6" ht="15" customHeight="1" x14ac:dyDescent="0.25">
      <c r="B35" s="156"/>
      <c r="C35" s="155"/>
      <c r="D35" s="128"/>
      <c r="E35" s="128"/>
      <c r="F35" s="53"/>
    </row>
    <row r="36" spans="2:6" ht="15" customHeight="1" x14ac:dyDescent="0.25">
      <c r="B36" s="156"/>
      <c r="C36" s="155"/>
      <c r="D36" s="128"/>
      <c r="E36" s="128"/>
      <c r="F36" s="53"/>
    </row>
    <row r="37" spans="2:6" ht="15" customHeight="1" x14ac:dyDescent="0.25">
      <c r="B37" s="156"/>
      <c r="C37" s="155"/>
      <c r="D37" s="128"/>
      <c r="E37" s="128"/>
      <c r="F37" s="53"/>
    </row>
    <row r="38" spans="2:6" ht="15" customHeight="1" x14ac:dyDescent="0.25">
      <c r="B38" s="156"/>
      <c r="C38" s="155"/>
      <c r="D38" s="128"/>
      <c r="E38" s="128"/>
      <c r="F38" s="53"/>
    </row>
    <row r="39" spans="2:6" ht="15" customHeight="1" x14ac:dyDescent="0.25">
      <c r="B39" s="156"/>
      <c r="C39" s="155"/>
      <c r="D39" s="128"/>
      <c r="E39" s="128"/>
      <c r="F39" s="53"/>
    </row>
    <row r="40" spans="2:6" ht="15" customHeight="1" x14ac:dyDescent="0.25">
      <c r="B40" s="156"/>
      <c r="C40" s="155"/>
      <c r="D40" s="128"/>
      <c r="E40" s="128"/>
      <c r="F40" s="53"/>
    </row>
    <row r="41" spans="2:6" ht="15" customHeight="1" x14ac:dyDescent="0.25">
      <c r="B41" s="156"/>
      <c r="C41" s="155"/>
      <c r="D41" s="128"/>
      <c r="E41" s="128"/>
      <c r="F41" s="53"/>
    </row>
    <row r="42" spans="2:6" ht="15" customHeight="1" x14ac:dyDescent="0.25">
      <c r="B42" s="156"/>
      <c r="C42" s="155"/>
      <c r="D42" s="128"/>
      <c r="E42" s="128"/>
      <c r="F42" s="53"/>
    </row>
    <row r="43" spans="2:6" ht="15" customHeight="1" x14ac:dyDescent="0.25">
      <c r="B43" s="156"/>
      <c r="C43" s="155"/>
      <c r="D43" s="128"/>
      <c r="E43" s="128"/>
      <c r="F43" s="53"/>
    </row>
    <row r="44" spans="2:6" ht="15" customHeight="1" x14ac:dyDescent="0.25">
      <c r="B44" s="156"/>
      <c r="C44" s="155"/>
      <c r="D44" s="128"/>
      <c r="E44" s="128"/>
      <c r="F44" s="53"/>
    </row>
    <row r="45" spans="2:6" ht="15" customHeight="1" x14ac:dyDescent="0.25">
      <c r="B45" s="156"/>
      <c r="C45" s="155"/>
      <c r="D45" s="128"/>
      <c r="E45" s="128"/>
      <c r="F45" s="53"/>
    </row>
    <row r="46" spans="2:6" ht="15" customHeight="1" x14ac:dyDescent="0.25">
      <c r="B46" s="153"/>
      <c r="C46" s="153"/>
      <c r="D46" s="153"/>
      <c r="E46" s="153"/>
      <c r="F46" s="153"/>
    </row>
    <row r="47" spans="2:6" ht="15" customHeight="1" x14ac:dyDescent="0.25">
      <c r="B47" s="156"/>
      <c r="C47" s="155"/>
      <c r="D47" s="128"/>
      <c r="E47" s="128"/>
      <c r="F47" s="53"/>
    </row>
    <row r="48" spans="2:6" ht="15" customHeight="1" x14ac:dyDescent="0.25">
      <c r="B48" s="156"/>
      <c r="C48" s="155"/>
      <c r="D48" s="128"/>
      <c r="E48" s="128"/>
      <c r="F48" s="53"/>
    </row>
    <row r="49" spans="2:6" ht="15" customHeight="1" x14ac:dyDescent="0.25">
      <c r="B49" s="156"/>
      <c r="C49" s="155"/>
      <c r="D49" s="128"/>
      <c r="E49" s="128"/>
      <c r="F49" s="53"/>
    </row>
    <row r="50" spans="2:6" ht="15" customHeight="1" x14ac:dyDescent="0.25">
      <c r="B50" s="156"/>
      <c r="C50" s="155"/>
      <c r="D50" s="128"/>
      <c r="E50" s="128"/>
      <c r="F50" s="53"/>
    </row>
    <row r="51" spans="2:6" ht="15" customHeight="1" x14ac:dyDescent="0.4">
      <c r="B51" s="154"/>
      <c r="C51" s="153"/>
      <c r="D51" s="153"/>
      <c r="E51" s="153"/>
      <c r="F51" s="153"/>
    </row>
    <row r="52" spans="2:6" ht="15" customHeight="1" x14ac:dyDescent="0.25">
      <c r="B52" s="156"/>
      <c r="C52" s="155"/>
      <c r="D52" s="128"/>
      <c r="E52" s="128"/>
      <c r="F52" s="53"/>
    </row>
    <row r="53" spans="2:6" ht="15" customHeight="1" x14ac:dyDescent="0.25">
      <c r="B53" s="156"/>
      <c r="C53" s="155"/>
      <c r="D53" s="128"/>
      <c r="E53" s="128"/>
      <c r="F53" s="53"/>
    </row>
    <row r="54" spans="2:6" ht="15" customHeight="1" x14ac:dyDescent="0.25">
      <c r="B54" s="156"/>
      <c r="C54" s="155"/>
      <c r="D54" s="128"/>
      <c r="E54" s="128"/>
      <c r="F54" s="53"/>
    </row>
    <row r="55" spans="2:6" ht="15" customHeight="1" x14ac:dyDescent="0.25">
      <c r="B55" s="156"/>
      <c r="C55" s="155"/>
      <c r="D55" s="128"/>
      <c r="E55" s="128"/>
      <c r="F55" s="53"/>
    </row>
    <row r="56" spans="2:6" ht="15" customHeight="1" x14ac:dyDescent="0.25">
      <c r="B56" s="156"/>
      <c r="C56" s="155"/>
      <c r="D56" s="128"/>
      <c r="E56" s="128"/>
      <c r="F56" s="53"/>
    </row>
    <row r="57" spans="2:6" ht="15" customHeight="1" x14ac:dyDescent="0.25">
      <c r="B57" s="156"/>
      <c r="C57" s="155"/>
      <c r="D57" s="128"/>
      <c r="E57" s="128"/>
      <c r="F57" s="53"/>
    </row>
    <row r="58" spans="2:6" ht="15" customHeight="1" x14ac:dyDescent="0.25">
      <c r="B58" s="156"/>
      <c r="C58" s="155"/>
      <c r="D58" s="128"/>
      <c r="E58" s="128"/>
      <c r="F58" s="53"/>
    </row>
    <row r="59" spans="2:6" ht="15" customHeight="1" x14ac:dyDescent="0.25">
      <c r="B59" s="156"/>
      <c r="C59" s="155"/>
      <c r="D59" s="128"/>
      <c r="E59" s="128"/>
      <c r="F59" s="53"/>
    </row>
    <row r="60" spans="2:6" ht="15" customHeight="1" x14ac:dyDescent="0.4">
      <c r="B60" s="154"/>
      <c r="C60" s="153"/>
      <c r="D60" s="153"/>
      <c r="E60" s="153"/>
      <c r="F60" s="153"/>
    </row>
    <row r="61" spans="2:6" ht="15" customHeight="1" x14ac:dyDescent="0.25">
      <c r="B61" s="156"/>
      <c r="C61" s="155"/>
      <c r="D61" s="128"/>
      <c r="E61" s="128"/>
      <c r="F61" s="53"/>
    </row>
    <row r="62" spans="2:6" ht="15" customHeight="1" x14ac:dyDescent="0.25">
      <c r="B62" s="156"/>
      <c r="C62" s="155"/>
      <c r="D62" s="128"/>
      <c r="E62" s="128"/>
      <c r="F62" s="53"/>
    </row>
    <row r="63" spans="2:6" ht="15" customHeight="1" x14ac:dyDescent="0.25">
      <c r="B63" s="156"/>
      <c r="C63" s="155"/>
      <c r="D63" s="128"/>
      <c r="E63" s="128"/>
      <c r="F63" s="53"/>
    </row>
    <row r="64" spans="2:6" ht="15" customHeight="1" x14ac:dyDescent="0.25">
      <c r="B64" s="52"/>
      <c r="C64" s="52"/>
      <c r="D64" s="52"/>
      <c r="E64" s="52"/>
      <c r="F64" s="52"/>
    </row>
    <row r="65" spans="2:6" ht="15" customHeight="1" x14ac:dyDescent="0.3">
      <c r="B65" s="52"/>
      <c r="C65" s="52"/>
      <c r="D65" s="152"/>
      <c r="E65" s="152"/>
      <c r="F65" s="106"/>
    </row>
    <row r="66" spans="2:6" ht="15" customHeight="1" x14ac:dyDescent="0.25">
      <c r="B66" s="52"/>
      <c r="C66" s="155"/>
      <c r="D66" s="128"/>
      <c r="E66" s="128"/>
      <c r="F66" s="53"/>
    </row>
    <row r="67" spans="2:6" ht="15" customHeight="1" x14ac:dyDescent="0.25">
      <c r="B67" s="52"/>
      <c r="C67" s="155"/>
      <c r="D67" s="128"/>
      <c r="E67" s="128"/>
      <c r="F67" s="53"/>
    </row>
    <row r="68" spans="2:6" ht="15" customHeight="1" x14ac:dyDescent="0.25">
      <c r="C68" s="129"/>
      <c r="D68" s="128"/>
      <c r="E68" s="128"/>
      <c r="F68" s="53"/>
    </row>
    <row r="69" spans="2:6" ht="15" customHeight="1" x14ac:dyDescent="0.25">
      <c r="C69" s="129"/>
      <c r="D69" s="128"/>
      <c r="E69" s="128"/>
      <c r="F69" s="53"/>
    </row>
    <row r="70" spans="2:6" ht="15" customHeight="1" x14ac:dyDescent="0.25"/>
    <row r="71" spans="2:6" ht="15" customHeight="1" x14ac:dyDescent="0.25"/>
    <row r="72" spans="2:6" ht="15" customHeight="1" x14ac:dyDescent="0.25"/>
    <row r="73" spans="2:6" ht="15" customHeight="1" x14ac:dyDescent="0.25"/>
    <row r="74" spans="2:6" ht="15" customHeight="1" x14ac:dyDescent="0.25"/>
    <row r="75" spans="2:6" ht="15" customHeight="1" x14ac:dyDescent="0.25"/>
    <row r="76" spans="2:6" ht="15" customHeight="1" x14ac:dyDescent="0.25"/>
    <row r="77" spans="2:6" ht="15" customHeight="1" x14ac:dyDescent="0.25"/>
    <row r="78" spans="2:6" ht="15" customHeight="1" x14ac:dyDescent="0.25"/>
    <row r="79" spans="2:6" ht="15" customHeight="1" x14ac:dyDescent="0.25"/>
    <row r="80" spans="2:6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</sheetData>
  <mergeCells count="1">
    <mergeCell ref="B3:B19"/>
  </mergeCells>
  <pageMargins left="1" right="1" top="1" bottom="1" header="0.5" footer="0.5"/>
  <pageSetup scale="87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Views>
    <sheetView topLeftCell="A22" zoomScaleNormal="100" zoomScaleSheetLayoutView="130" workbookViewId="0">
      <selection activeCell="B2" sqref="B2:G19"/>
    </sheetView>
  </sheetViews>
  <sheetFormatPr baseColWidth="10" defaultColWidth="9.140625" defaultRowHeight="15" x14ac:dyDescent="0.25"/>
  <cols>
    <col min="2" max="2" width="23.28515625" bestFit="1" customWidth="1"/>
    <col min="3" max="3" width="12.5703125" bestFit="1" customWidth="1"/>
    <col min="4" max="4" width="35.28515625" bestFit="1" customWidth="1"/>
    <col min="5" max="5" width="12.85546875" bestFit="1" customWidth="1"/>
    <col min="6" max="6" width="9.5703125" hidden="1" customWidth="1"/>
    <col min="7" max="7" width="13.42578125" customWidth="1"/>
  </cols>
  <sheetData>
    <row r="2" spans="2:9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167" t="s">
        <v>578</v>
      </c>
    </row>
    <row r="3" spans="2:9" ht="15" customHeight="1" x14ac:dyDescent="0.25">
      <c r="B3" s="186" t="s">
        <v>117</v>
      </c>
      <c r="C3" s="189" t="s">
        <v>4</v>
      </c>
      <c r="D3" s="5" t="s">
        <v>118</v>
      </c>
      <c r="E3" s="5" t="s">
        <v>3</v>
      </c>
      <c r="F3" s="169">
        <v>18700</v>
      </c>
      <c r="G3" s="6">
        <v>19800</v>
      </c>
    </row>
    <row r="4" spans="2:9" ht="15" customHeight="1" x14ac:dyDescent="0.25">
      <c r="B4" s="187"/>
      <c r="C4" s="190"/>
      <c r="D4" s="5" t="s">
        <v>118</v>
      </c>
      <c r="E4" s="5" t="s">
        <v>8</v>
      </c>
      <c r="F4" s="169">
        <v>32000</v>
      </c>
      <c r="G4" s="6">
        <v>35000</v>
      </c>
    </row>
    <row r="5" spans="2:9" ht="15" customHeight="1" x14ac:dyDescent="0.25">
      <c r="B5" s="187"/>
      <c r="C5" s="190"/>
      <c r="D5" s="5" t="s">
        <v>118</v>
      </c>
      <c r="E5" s="5" t="s">
        <v>47</v>
      </c>
      <c r="F5" s="169">
        <v>9500</v>
      </c>
      <c r="G5" s="6">
        <v>9500</v>
      </c>
    </row>
    <row r="6" spans="2:9" ht="15" customHeight="1" x14ac:dyDescent="0.25">
      <c r="B6" s="187"/>
      <c r="C6" s="190"/>
      <c r="D6" s="5" t="s">
        <v>119</v>
      </c>
      <c r="E6" s="5" t="s">
        <v>8</v>
      </c>
      <c r="F6" s="169">
        <v>31500</v>
      </c>
      <c r="G6" s="6">
        <v>32000</v>
      </c>
    </row>
    <row r="7" spans="2:9" ht="15" customHeight="1" x14ac:dyDescent="0.25">
      <c r="B7" s="187"/>
      <c r="C7" s="190"/>
      <c r="D7" s="5" t="s">
        <v>120</v>
      </c>
      <c r="E7" s="5" t="s">
        <v>3</v>
      </c>
      <c r="F7" s="169">
        <v>18700</v>
      </c>
      <c r="G7" s="6">
        <v>18700</v>
      </c>
    </row>
    <row r="8" spans="2:9" ht="15" customHeight="1" x14ac:dyDescent="0.25">
      <c r="B8" s="187"/>
      <c r="C8" s="190"/>
      <c r="D8" s="5" t="s">
        <v>120</v>
      </c>
      <c r="E8" s="5" t="s">
        <v>47</v>
      </c>
      <c r="F8" s="169">
        <v>9000</v>
      </c>
      <c r="G8" s="6">
        <v>9000</v>
      </c>
    </row>
    <row r="9" spans="2:9" ht="15" customHeight="1" x14ac:dyDescent="0.25">
      <c r="B9" s="187"/>
      <c r="C9" s="190"/>
      <c r="D9" s="5" t="s">
        <v>121</v>
      </c>
      <c r="E9" s="5" t="s">
        <v>8</v>
      </c>
      <c r="F9" s="169">
        <v>38500</v>
      </c>
      <c r="G9" s="6">
        <v>38500</v>
      </c>
      <c r="I9" s="57"/>
    </row>
    <row r="10" spans="2:9" ht="15" customHeight="1" x14ac:dyDescent="0.25">
      <c r="B10" s="187"/>
      <c r="C10" s="190"/>
      <c r="D10" s="5" t="s">
        <v>122</v>
      </c>
      <c r="E10" s="5" t="s">
        <v>3</v>
      </c>
      <c r="F10" s="169">
        <v>22000</v>
      </c>
      <c r="G10" s="6">
        <v>23000</v>
      </c>
    </row>
    <row r="11" spans="2:9" ht="15" customHeight="1" x14ac:dyDescent="0.25">
      <c r="B11" s="187"/>
      <c r="C11" s="190"/>
      <c r="D11" s="5" t="s">
        <v>122</v>
      </c>
      <c r="E11" s="5" t="s">
        <v>47</v>
      </c>
      <c r="F11" s="169">
        <v>10000</v>
      </c>
      <c r="G11" s="6">
        <v>10000</v>
      </c>
    </row>
    <row r="12" spans="2:9" ht="15" customHeight="1" x14ac:dyDescent="0.25">
      <c r="B12" s="187"/>
      <c r="C12" s="190"/>
      <c r="D12" s="5" t="s">
        <v>507</v>
      </c>
      <c r="E12" s="5" t="s">
        <v>3</v>
      </c>
      <c r="F12" s="169">
        <v>22000</v>
      </c>
      <c r="G12" s="6">
        <v>22000</v>
      </c>
    </row>
    <row r="13" spans="2:9" ht="15" customHeight="1" x14ac:dyDescent="0.25">
      <c r="B13" s="187"/>
      <c r="C13" s="191"/>
      <c r="D13" s="5" t="s">
        <v>123</v>
      </c>
      <c r="E13" s="5" t="s">
        <v>8</v>
      </c>
      <c r="F13" s="169">
        <v>37500</v>
      </c>
      <c r="G13" s="6">
        <v>37500</v>
      </c>
    </row>
    <row r="14" spans="2:9" ht="15" customHeight="1" x14ac:dyDescent="0.25">
      <c r="B14" s="187"/>
      <c r="C14" s="189" t="s">
        <v>1</v>
      </c>
      <c r="D14" s="5" t="s">
        <v>124</v>
      </c>
      <c r="E14" s="5" t="s">
        <v>3</v>
      </c>
      <c r="F14" s="169">
        <v>21800</v>
      </c>
      <c r="G14" s="6">
        <v>22900</v>
      </c>
    </row>
    <row r="15" spans="2:9" ht="15" customHeight="1" x14ac:dyDescent="0.25">
      <c r="B15" s="187"/>
      <c r="C15" s="190"/>
      <c r="D15" s="5" t="s">
        <v>730</v>
      </c>
      <c r="E15" s="5" t="s">
        <v>3</v>
      </c>
      <c r="F15" s="169"/>
      <c r="G15" s="6">
        <v>26500</v>
      </c>
    </row>
    <row r="16" spans="2:9" ht="15" customHeight="1" x14ac:dyDescent="0.25">
      <c r="B16" s="188"/>
      <c r="C16" s="191"/>
      <c r="D16" s="5" t="s">
        <v>124</v>
      </c>
      <c r="E16" s="5" t="s">
        <v>125</v>
      </c>
      <c r="F16" s="169">
        <v>6900</v>
      </c>
      <c r="G16" s="6">
        <v>6900</v>
      </c>
    </row>
    <row r="17" spans="2:7" ht="15" customHeight="1" x14ac:dyDescent="0.25">
      <c r="B17" s="194" t="s">
        <v>445</v>
      </c>
      <c r="C17" s="200" t="s">
        <v>4</v>
      </c>
      <c r="D17" s="5" t="s">
        <v>443</v>
      </c>
      <c r="E17" s="5" t="s">
        <v>21</v>
      </c>
      <c r="F17" s="169">
        <v>20500</v>
      </c>
      <c r="G17" s="6">
        <v>20900</v>
      </c>
    </row>
    <row r="18" spans="2:7" ht="15" customHeight="1" x14ac:dyDescent="0.25">
      <c r="B18" s="196"/>
      <c r="C18" s="202"/>
      <c r="D18" s="5" t="s">
        <v>444</v>
      </c>
      <c r="E18" s="5" t="s">
        <v>21</v>
      </c>
      <c r="F18" s="169">
        <v>22500</v>
      </c>
      <c r="G18" s="6">
        <v>22800</v>
      </c>
    </row>
    <row r="19" spans="2:7" ht="15" customHeight="1" x14ac:dyDescent="0.25">
      <c r="B19" s="168"/>
      <c r="C19" s="166" t="s">
        <v>1</v>
      </c>
      <c r="D19" s="5" t="s">
        <v>729</v>
      </c>
      <c r="E19" s="5" t="s">
        <v>3</v>
      </c>
      <c r="F19" s="169"/>
      <c r="G19" s="6">
        <v>16500</v>
      </c>
    </row>
    <row r="21" spans="2:7" x14ac:dyDescent="0.25">
      <c r="D21" s="2" t="s">
        <v>617</v>
      </c>
      <c r="E21" s="2" t="s">
        <v>578</v>
      </c>
    </row>
    <row r="22" spans="2:7" x14ac:dyDescent="0.25">
      <c r="D22" s="5" t="s">
        <v>605</v>
      </c>
      <c r="E22" s="13">
        <v>7300</v>
      </c>
    </row>
    <row r="23" spans="2:7" x14ac:dyDescent="0.25">
      <c r="D23" s="5" t="s">
        <v>606</v>
      </c>
      <c r="E23" s="13">
        <v>5500</v>
      </c>
    </row>
    <row r="24" spans="2:7" x14ac:dyDescent="0.25">
      <c r="D24" s="5" t="s">
        <v>607</v>
      </c>
      <c r="E24" s="13">
        <v>5000</v>
      </c>
    </row>
    <row r="25" spans="2:7" x14ac:dyDescent="0.25">
      <c r="D25" s="5" t="s">
        <v>608</v>
      </c>
      <c r="E25" s="13">
        <v>5800</v>
      </c>
    </row>
    <row r="26" spans="2:7" x14ac:dyDescent="0.25">
      <c r="D26" s="5" t="s">
        <v>609</v>
      </c>
      <c r="E26" s="13">
        <v>7900</v>
      </c>
    </row>
    <row r="27" spans="2:7" x14ac:dyDescent="0.25">
      <c r="D27" s="5" t="s">
        <v>612</v>
      </c>
      <c r="E27" s="13">
        <v>4500</v>
      </c>
    </row>
    <row r="28" spans="2:7" x14ac:dyDescent="0.25">
      <c r="D28" s="5" t="s">
        <v>610</v>
      </c>
      <c r="E28" s="13">
        <v>5900</v>
      </c>
    </row>
    <row r="29" spans="2:7" x14ac:dyDescent="0.25">
      <c r="D29" s="5" t="s">
        <v>611</v>
      </c>
      <c r="E29" s="13">
        <v>10000</v>
      </c>
    </row>
    <row r="30" spans="2:7" x14ac:dyDescent="0.25">
      <c r="D30" s="5" t="s">
        <v>613</v>
      </c>
      <c r="E30" s="13">
        <v>5000</v>
      </c>
    </row>
    <row r="31" spans="2:7" x14ac:dyDescent="0.25">
      <c r="D31" s="5" t="s">
        <v>614</v>
      </c>
      <c r="E31" s="13">
        <v>4700</v>
      </c>
    </row>
    <row r="32" spans="2:7" x14ac:dyDescent="0.25">
      <c r="D32" s="5" t="s">
        <v>615</v>
      </c>
      <c r="E32" s="13">
        <v>4700</v>
      </c>
    </row>
    <row r="33" spans="4:5" x14ac:dyDescent="0.25">
      <c r="D33" s="5" t="s">
        <v>616</v>
      </c>
      <c r="E33" s="13">
        <v>4900</v>
      </c>
    </row>
  </sheetData>
  <mergeCells count="5">
    <mergeCell ref="B3:B16"/>
    <mergeCell ref="B17:B18"/>
    <mergeCell ref="C3:C13"/>
    <mergeCell ref="C14:C16"/>
    <mergeCell ref="C17:C18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workbookViewId="0">
      <selection activeCell="B2" sqref="B2"/>
    </sheetView>
  </sheetViews>
  <sheetFormatPr baseColWidth="10" defaultColWidth="9.140625" defaultRowHeight="15" x14ac:dyDescent="0.25"/>
  <cols>
    <col min="2" max="2" width="14.5703125" bestFit="1" customWidth="1"/>
    <col min="3" max="3" width="12.5703125" bestFit="1" customWidth="1"/>
    <col min="4" max="4" width="40.85546875" bestFit="1" customWidth="1"/>
    <col min="5" max="5" width="12.85546875" bestFit="1" customWidth="1"/>
    <col min="6" max="6" width="13.5703125" bestFit="1" customWidth="1"/>
    <col min="7" max="7" width="22.140625" bestFit="1" customWidth="1"/>
    <col min="8" max="8" width="27.140625" bestFit="1" customWidth="1"/>
  </cols>
  <sheetData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0" t="s">
        <v>250</v>
      </c>
      <c r="H2" s="19" t="s">
        <v>251</v>
      </c>
    </row>
    <row r="3" spans="2:8" x14ac:dyDescent="0.25">
      <c r="B3" s="181" t="s">
        <v>42</v>
      </c>
      <c r="C3" s="183" t="s">
        <v>4</v>
      </c>
      <c r="D3" s="5" t="s">
        <v>43</v>
      </c>
      <c r="E3" s="5" t="s">
        <v>8</v>
      </c>
      <c r="F3" s="6">
        <v>25500</v>
      </c>
      <c r="G3" s="10"/>
      <c r="H3" s="10"/>
    </row>
    <row r="4" spans="2:8" x14ac:dyDescent="0.25">
      <c r="B4" s="181"/>
      <c r="C4" s="181"/>
      <c r="D4" s="5" t="s">
        <v>44</v>
      </c>
      <c r="E4" s="5" t="s">
        <v>41</v>
      </c>
      <c r="F4" s="6">
        <v>20500</v>
      </c>
      <c r="G4" s="10"/>
      <c r="H4" s="10"/>
    </row>
    <row r="5" spans="2:8" x14ac:dyDescent="0.25">
      <c r="B5" s="181"/>
      <c r="C5" s="181"/>
      <c r="D5" s="5" t="s">
        <v>45</v>
      </c>
      <c r="E5" s="5" t="s">
        <v>41</v>
      </c>
      <c r="F5" s="6">
        <v>20500</v>
      </c>
      <c r="G5" s="10"/>
      <c r="H5" s="10"/>
    </row>
    <row r="6" spans="2:8" x14ac:dyDescent="0.25">
      <c r="B6" s="181"/>
      <c r="C6" s="181"/>
      <c r="D6" s="5" t="s">
        <v>46</v>
      </c>
      <c r="E6" s="5" t="s">
        <v>24</v>
      </c>
      <c r="F6" s="6">
        <v>15500</v>
      </c>
      <c r="G6" s="10"/>
      <c r="H6" s="10"/>
    </row>
    <row r="7" spans="2:8" x14ac:dyDescent="0.25">
      <c r="B7" s="181"/>
      <c r="C7" s="181"/>
      <c r="D7" s="5" t="s">
        <v>46</v>
      </c>
      <c r="E7" s="5" t="s">
        <v>47</v>
      </c>
      <c r="F7" s="6">
        <v>7000</v>
      </c>
      <c r="G7" s="10"/>
      <c r="H7" s="10"/>
    </row>
    <row r="8" spans="2:8" x14ac:dyDescent="0.25">
      <c r="B8" s="181"/>
      <c r="C8" s="183" t="s">
        <v>1</v>
      </c>
      <c r="D8" s="5" t="s">
        <v>48</v>
      </c>
      <c r="E8" s="5" t="s">
        <v>3</v>
      </c>
      <c r="F8" s="6">
        <v>19800</v>
      </c>
      <c r="G8" s="10"/>
      <c r="H8" s="10"/>
    </row>
    <row r="9" spans="2:8" x14ac:dyDescent="0.25">
      <c r="B9" s="181"/>
      <c r="C9" s="183"/>
      <c r="D9" s="5" t="s">
        <v>48</v>
      </c>
      <c r="E9" s="5" t="s">
        <v>47</v>
      </c>
      <c r="F9" s="6">
        <v>7500</v>
      </c>
      <c r="G9" s="10"/>
      <c r="H9" s="10"/>
    </row>
  </sheetData>
  <mergeCells count="3">
    <mergeCell ref="B3:B9"/>
    <mergeCell ref="C3:C7"/>
    <mergeCell ref="C8:C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>
      <selection activeCell="B6" sqref="B6:F14"/>
    </sheetView>
  </sheetViews>
  <sheetFormatPr baseColWidth="10" defaultColWidth="9.140625" defaultRowHeight="15" x14ac:dyDescent="0.25"/>
  <cols>
    <col min="2" max="2" width="17.28515625" bestFit="1" customWidth="1"/>
    <col min="3" max="3" width="12.5703125" bestFit="1" customWidth="1"/>
    <col min="4" max="4" width="17" bestFit="1" customWidth="1"/>
    <col min="5" max="5" width="12.85546875" bestFit="1" customWidth="1"/>
    <col min="6" max="7" width="9.5703125" bestFit="1" customWidth="1"/>
    <col min="8" max="8" width="27.140625" bestFit="1" customWidth="1"/>
    <col min="9" max="9" width="11.42578125" bestFit="1" customWidth="1"/>
    <col min="10" max="10" width="7.28515625" bestFit="1" customWidth="1"/>
  </cols>
  <sheetData>
    <row r="2" spans="2:10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0" t="s">
        <v>589</v>
      </c>
      <c r="H2" s="19" t="s">
        <v>251</v>
      </c>
    </row>
    <row r="3" spans="2:10" x14ac:dyDescent="0.25">
      <c r="B3" s="181" t="s">
        <v>116</v>
      </c>
      <c r="C3" s="189" t="s">
        <v>1</v>
      </c>
      <c r="D3" s="5" t="s">
        <v>6</v>
      </c>
      <c r="E3" s="5" t="s">
        <v>8</v>
      </c>
      <c r="F3" s="9">
        <v>34500</v>
      </c>
      <c r="G3" s="2"/>
      <c r="H3" s="2"/>
    </row>
    <row r="4" spans="2:10" x14ac:dyDescent="0.25">
      <c r="B4" s="181"/>
      <c r="C4" s="191"/>
      <c r="D4" s="5" t="s">
        <v>110</v>
      </c>
      <c r="E4" s="10" t="s">
        <v>8</v>
      </c>
      <c r="F4" s="9">
        <v>34500</v>
      </c>
      <c r="G4" s="2"/>
      <c r="H4" s="2"/>
    </row>
    <row r="6" spans="2:10" ht="18.75" x14ac:dyDescent="0.3">
      <c r="B6" s="18" t="s">
        <v>192</v>
      </c>
      <c r="C6" s="18" t="s">
        <v>247</v>
      </c>
      <c r="D6" s="19" t="s">
        <v>248</v>
      </c>
      <c r="E6" s="19" t="s">
        <v>193</v>
      </c>
      <c r="F6" s="90" t="s">
        <v>590</v>
      </c>
      <c r="G6" s="20" t="s">
        <v>589</v>
      </c>
      <c r="H6" s="19" t="s">
        <v>251</v>
      </c>
    </row>
    <row r="7" spans="2:10" x14ac:dyDescent="0.25">
      <c r="B7" s="181" t="s">
        <v>132</v>
      </c>
      <c r="C7" s="189" t="s">
        <v>4</v>
      </c>
      <c r="D7" s="5" t="s">
        <v>6</v>
      </c>
      <c r="E7" s="5" t="s">
        <v>67</v>
      </c>
      <c r="F7" s="9">
        <v>35000</v>
      </c>
      <c r="G7" s="13">
        <v>38000</v>
      </c>
      <c r="H7" s="2"/>
    </row>
    <row r="8" spans="2:10" x14ac:dyDescent="0.25">
      <c r="B8" s="181"/>
      <c r="C8" s="190"/>
      <c r="D8" s="5" t="s">
        <v>133</v>
      </c>
      <c r="E8" s="5" t="s">
        <v>67</v>
      </c>
      <c r="F8" s="9">
        <v>38000</v>
      </c>
      <c r="G8" s="13">
        <v>38000</v>
      </c>
      <c r="H8" s="2"/>
    </row>
    <row r="9" spans="2:10" x14ac:dyDescent="0.25">
      <c r="B9" s="181"/>
      <c r="C9" s="190"/>
      <c r="D9" s="5" t="s">
        <v>134</v>
      </c>
      <c r="E9" s="5" t="s">
        <v>67</v>
      </c>
      <c r="F9" s="9">
        <v>38000</v>
      </c>
      <c r="G9" s="13">
        <v>40000</v>
      </c>
      <c r="H9" s="2"/>
    </row>
    <row r="10" spans="2:10" x14ac:dyDescent="0.25">
      <c r="B10" s="181"/>
      <c r="C10" s="191"/>
      <c r="D10" s="5" t="s">
        <v>38</v>
      </c>
      <c r="E10" s="10" t="s">
        <v>67</v>
      </c>
      <c r="F10" s="9">
        <v>38000</v>
      </c>
      <c r="G10" s="13">
        <v>40000</v>
      </c>
      <c r="H10" s="2"/>
    </row>
    <row r="12" spans="2:10" x14ac:dyDescent="0.25">
      <c r="B12" s="181" t="s">
        <v>142</v>
      </c>
      <c r="C12" s="183" t="s">
        <v>1</v>
      </c>
      <c r="D12" s="5" t="s">
        <v>107</v>
      </c>
      <c r="E12" s="10" t="s">
        <v>3</v>
      </c>
      <c r="F12" s="9">
        <v>23500</v>
      </c>
      <c r="G12" s="2" t="s">
        <v>664</v>
      </c>
      <c r="H12" s="2" t="s">
        <v>668</v>
      </c>
      <c r="I12" s="10" t="s">
        <v>667</v>
      </c>
      <c r="J12" s="10" t="s">
        <v>666</v>
      </c>
    </row>
    <row r="13" spans="2:10" x14ac:dyDescent="0.25">
      <c r="B13" s="185"/>
      <c r="C13" s="185"/>
      <c r="D13" s="5" t="s">
        <v>37</v>
      </c>
      <c r="E13" s="10" t="s">
        <v>3</v>
      </c>
      <c r="F13" s="9">
        <v>23500</v>
      </c>
      <c r="G13" s="2"/>
      <c r="H13" s="2"/>
    </row>
    <row r="14" spans="2:10" x14ac:dyDescent="0.25">
      <c r="B14" s="185"/>
      <c r="C14" s="185"/>
      <c r="D14" s="5" t="s">
        <v>110</v>
      </c>
      <c r="E14" s="10" t="s">
        <v>3</v>
      </c>
      <c r="F14" s="9">
        <v>23500</v>
      </c>
      <c r="G14" s="2"/>
      <c r="H14" s="2"/>
    </row>
  </sheetData>
  <mergeCells count="6">
    <mergeCell ref="B3:B4"/>
    <mergeCell ref="C3:C4"/>
    <mergeCell ref="B7:B10"/>
    <mergeCell ref="C7:C10"/>
    <mergeCell ref="B12:B14"/>
    <mergeCell ref="C12:C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"/>
  <sheetViews>
    <sheetView view="pageBreakPreview" zoomScaleNormal="100" zoomScaleSheetLayoutView="100" workbookViewId="0">
      <selection activeCell="B2" sqref="B2:F4"/>
    </sheetView>
  </sheetViews>
  <sheetFormatPr baseColWidth="10" defaultColWidth="9.140625" defaultRowHeight="15" x14ac:dyDescent="0.25"/>
  <cols>
    <col min="2" max="2" width="15.140625" bestFit="1" customWidth="1"/>
    <col min="3" max="3" width="12.5703125" bestFit="1" customWidth="1"/>
    <col min="4" max="4" width="28.140625" bestFit="1" customWidth="1"/>
    <col min="5" max="5" width="12.85546875" bestFit="1" customWidth="1"/>
    <col min="6" max="6" width="13.5703125" bestFit="1" customWidth="1"/>
    <col min="7" max="7" width="22.140625" bestFit="1" customWidth="1"/>
    <col min="8" max="8" width="27.140625" bestFit="1" customWidth="1"/>
  </cols>
  <sheetData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0" t="s">
        <v>250</v>
      </c>
      <c r="H2" s="19" t="s">
        <v>251</v>
      </c>
    </row>
    <row r="3" spans="2:8" x14ac:dyDescent="0.25">
      <c r="B3" s="181" t="s">
        <v>126</v>
      </c>
      <c r="C3" s="183" t="s">
        <v>4</v>
      </c>
      <c r="D3" s="5" t="s">
        <v>127</v>
      </c>
      <c r="E3" s="5" t="s">
        <v>3</v>
      </c>
      <c r="F3" s="9">
        <v>21500</v>
      </c>
      <c r="G3" s="2"/>
      <c r="H3" s="2"/>
    </row>
    <row r="4" spans="2:8" x14ac:dyDescent="0.25">
      <c r="B4" s="181"/>
      <c r="C4" s="183"/>
      <c r="D4" s="5" t="s">
        <v>128</v>
      </c>
      <c r="E4" s="5" t="s">
        <v>41</v>
      </c>
      <c r="F4" s="9">
        <v>25000</v>
      </c>
      <c r="G4" s="2"/>
      <c r="H4" s="2"/>
    </row>
  </sheetData>
  <mergeCells count="2">
    <mergeCell ref="B3:B4"/>
    <mergeCell ref="C3:C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H17"/>
  <sheetViews>
    <sheetView zoomScaleNormal="100" workbookViewId="0">
      <selection activeCell="F2" sqref="F2"/>
    </sheetView>
  </sheetViews>
  <sheetFormatPr baseColWidth="10" defaultColWidth="9.140625" defaultRowHeight="15" x14ac:dyDescent="0.25"/>
  <cols>
    <col min="2" max="2" width="15.140625" bestFit="1" customWidth="1"/>
    <col min="3" max="3" width="26" bestFit="1" customWidth="1"/>
    <col min="4" max="4" width="20.85546875" bestFit="1" customWidth="1"/>
    <col min="5" max="5" width="12.85546875" bestFit="1" customWidth="1"/>
    <col min="6" max="6" width="13.5703125" bestFit="1" customWidth="1"/>
    <col min="7" max="7" width="22.140625" bestFit="1" customWidth="1"/>
    <col min="8" max="8" width="27.140625" bestFit="1" customWidth="1"/>
  </cols>
  <sheetData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20" t="s">
        <v>250</v>
      </c>
      <c r="H2" s="19" t="s">
        <v>251</v>
      </c>
    </row>
    <row r="3" spans="2:8" x14ac:dyDescent="0.25">
      <c r="B3" s="181" t="s">
        <v>135</v>
      </c>
      <c r="C3" s="183" t="s">
        <v>4</v>
      </c>
      <c r="D3" s="5" t="s">
        <v>136</v>
      </c>
      <c r="E3" s="10" t="s">
        <v>8</v>
      </c>
      <c r="F3" s="9">
        <v>40000</v>
      </c>
      <c r="G3" s="2"/>
      <c r="H3" s="2"/>
    </row>
    <row r="4" spans="2:8" x14ac:dyDescent="0.25">
      <c r="B4" s="181"/>
      <c r="C4" s="183"/>
      <c r="D4" s="5" t="s">
        <v>136</v>
      </c>
      <c r="E4" s="10" t="s">
        <v>3</v>
      </c>
      <c r="F4" s="9"/>
      <c r="G4" s="2"/>
      <c r="H4" s="2"/>
    </row>
    <row r="5" spans="2:8" x14ac:dyDescent="0.25">
      <c r="B5" s="181"/>
      <c r="C5" s="183"/>
      <c r="D5" s="5" t="s">
        <v>137</v>
      </c>
      <c r="E5" s="10" t="s">
        <v>3</v>
      </c>
      <c r="F5" s="9">
        <v>23000</v>
      </c>
      <c r="G5" s="2"/>
      <c r="H5" s="2"/>
    </row>
    <row r="6" spans="2:8" x14ac:dyDescent="0.25">
      <c r="B6" s="181"/>
      <c r="C6" s="183"/>
      <c r="D6" s="5" t="s">
        <v>138</v>
      </c>
      <c r="E6" s="10" t="s">
        <v>8</v>
      </c>
      <c r="F6" s="9">
        <v>42000</v>
      </c>
      <c r="G6" s="2"/>
      <c r="H6" s="2"/>
    </row>
    <row r="7" spans="2:8" x14ac:dyDescent="0.25">
      <c r="B7" s="181"/>
      <c r="C7" s="183"/>
      <c r="D7" s="5" t="s">
        <v>138</v>
      </c>
      <c r="E7" s="10" t="s">
        <v>3</v>
      </c>
      <c r="F7" s="9"/>
      <c r="G7" s="2"/>
      <c r="H7" s="2"/>
    </row>
    <row r="8" spans="2:8" x14ac:dyDescent="0.25">
      <c r="B8" s="181"/>
      <c r="C8" s="183"/>
      <c r="D8" s="5" t="s">
        <v>139</v>
      </c>
      <c r="E8" s="10" t="s">
        <v>3</v>
      </c>
      <c r="F8" s="9">
        <v>26000</v>
      </c>
      <c r="G8" s="2"/>
      <c r="H8" s="2"/>
    </row>
    <row r="9" spans="2:8" x14ac:dyDescent="0.25">
      <c r="B9" s="181"/>
      <c r="C9" s="183"/>
      <c r="D9" s="5" t="s">
        <v>140</v>
      </c>
      <c r="E9" s="10" t="s">
        <v>3</v>
      </c>
      <c r="F9" s="9">
        <v>26000</v>
      </c>
      <c r="G9" s="2"/>
      <c r="H9" s="2"/>
    </row>
    <row r="10" spans="2:8" x14ac:dyDescent="0.25">
      <c r="B10" s="181"/>
      <c r="C10" s="183"/>
      <c r="D10" s="5" t="s">
        <v>141</v>
      </c>
      <c r="E10" s="10" t="s">
        <v>8</v>
      </c>
      <c r="F10" s="9">
        <v>45000</v>
      </c>
      <c r="G10" s="2"/>
      <c r="H10" s="2"/>
    </row>
    <row r="14" spans="2:8" x14ac:dyDescent="0.25">
      <c r="C14" s="45"/>
      <c r="D14" s="45"/>
      <c r="E14" s="63"/>
    </row>
    <row r="15" spans="2:8" x14ac:dyDescent="0.25">
      <c r="C15" s="45"/>
      <c r="D15" s="45"/>
      <c r="E15" s="63"/>
    </row>
    <row r="16" spans="2:8" x14ac:dyDescent="0.25">
      <c r="C16" s="45"/>
      <c r="D16" s="45"/>
      <c r="E16" s="63"/>
    </row>
    <row r="17" spans="3:5" x14ac:dyDescent="0.25">
      <c r="C17" s="45"/>
      <c r="D17" s="45"/>
      <c r="E17" s="63"/>
    </row>
  </sheetData>
  <mergeCells count="2">
    <mergeCell ref="B3:B10"/>
    <mergeCell ref="C3:C10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K26"/>
  <sheetViews>
    <sheetView zoomScale="85" zoomScaleNormal="85" workbookViewId="0">
      <selection activeCell="B11" sqref="B11"/>
    </sheetView>
  </sheetViews>
  <sheetFormatPr baseColWidth="10" defaultColWidth="9.140625" defaultRowHeight="15" x14ac:dyDescent="0.25"/>
  <cols>
    <col min="2" max="2" width="72" style="115" customWidth="1"/>
    <col min="3" max="3" width="8.85546875" style="115" hidden="1" customWidth="1"/>
    <col min="4" max="4" width="11.42578125" style="115" hidden="1" customWidth="1"/>
    <col min="5" max="5" width="11.28515625" style="115" hidden="1" customWidth="1"/>
    <col min="6" max="6" width="15.28515625" style="115" bestFit="1" customWidth="1"/>
    <col min="7" max="7" width="18.140625" style="115" bestFit="1" customWidth="1"/>
  </cols>
  <sheetData>
    <row r="1" spans="2:7" x14ac:dyDescent="0.25">
      <c r="F1" s="115">
        <v>1.1000000000000001</v>
      </c>
    </row>
    <row r="2" spans="2:7" x14ac:dyDescent="0.25">
      <c r="B2" s="146" t="s">
        <v>672</v>
      </c>
      <c r="C2" s="146" t="s">
        <v>673</v>
      </c>
      <c r="D2" s="146" t="s">
        <v>674</v>
      </c>
      <c r="E2" s="146" t="s">
        <v>675</v>
      </c>
      <c r="F2" s="146" t="s">
        <v>676</v>
      </c>
      <c r="G2" s="146" t="s">
        <v>677</v>
      </c>
    </row>
    <row r="3" spans="2:7" ht="15" customHeight="1" x14ac:dyDescent="0.25">
      <c r="B3" s="118" t="s">
        <v>678</v>
      </c>
      <c r="C3" s="118">
        <v>5</v>
      </c>
      <c r="D3" s="13">
        <v>13805</v>
      </c>
      <c r="E3" s="13">
        <f t="shared" ref="E3:E24" si="0">+D3*1.19</f>
        <v>16427.95</v>
      </c>
      <c r="F3" s="13">
        <v>18000</v>
      </c>
      <c r="G3" s="13">
        <v>19700</v>
      </c>
    </row>
    <row r="4" spans="2:7" ht="15" customHeight="1" x14ac:dyDescent="0.25">
      <c r="B4" s="118" t="s">
        <v>679</v>
      </c>
      <c r="C4" s="118">
        <v>5</v>
      </c>
      <c r="D4" s="13">
        <v>40651</v>
      </c>
      <c r="E4" s="13">
        <f t="shared" si="0"/>
        <v>48374.689999999995</v>
      </c>
      <c r="F4" s="13">
        <v>52000</v>
      </c>
      <c r="G4" s="13">
        <v>54500</v>
      </c>
    </row>
    <row r="5" spans="2:7" ht="15" customHeight="1" x14ac:dyDescent="0.25">
      <c r="B5" s="118" t="s">
        <v>680</v>
      </c>
      <c r="C5" s="118">
        <v>5</v>
      </c>
      <c r="D5" s="13">
        <v>40651</v>
      </c>
      <c r="E5" s="13">
        <f t="shared" si="0"/>
        <v>48374.689999999995</v>
      </c>
      <c r="F5" s="13">
        <v>52000</v>
      </c>
      <c r="G5" s="13">
        <v>54500</v>
      </c>
    </row>
    <row r="6" spans="2:7" ht="15" customHeight="1" x14ac:dyDescent="0.25">
      <c r="B6" s="118" t="s">
        <v>681</v>
      </c>
      <c r="C6" s="118">
        <v>5</v>
      </c>
      <c r="D6" s="13">
        <v>13805</v>
      </c>
      <c r="E6" s="13">
        <f t="shared" si="0"/>
        <v>16427.95</v>
      </c>
      <c r="F6" s="13">
        <v>18000</v>
      </c>
      <c r="G6" s="13">
        <v>19000</v>
      </c>
    </row>
    <row r="7" spans="2:7" ht="15" customHeight="1" x14ac:dyDescent="0.25">
      <c r="B7" s="118" t="s">
        <v>682</v>
      </c>
      <c r="C7" s="118">
        <v>5</v>
      </c>
      <c r="D7" s="13">
        <v>13805</v>
      </c>
      <c r="E7" s="13">
        <f t="shared" si="0"/>
        <v>16427.95</v>
      </c>
      <c r="F7" s="13">
        <v>18000</v>
      </c>
      <c r="G7" s="13">
        <v>19000</v>
      </c>
    </row>
    <row r="8" spans="2:7" ht="15" customHeight="1" x14ac:dyDescent="0.25">
      <c r="B8" s="118" t="s">
        <v>683</v>
      </c>
      <c r="C8" s="118">
        <v>4</v>
      </c>
      <c r="D8" s="13">
        <v>15104</v>
      </c>
      <c r="E8" s="13">
        <f t="shared" si="0"/>
        <v>17973.759999999998</v>
      </c>
      <c r="F8" s="13">
        <v>19000</v>
      </c>
      <c r="G8" s="13">
        <v>20000</v>
      </c>
    </row>
    <row r="9" spans="2:7" ht="15" customHeight="1" x14ac:dyDescent="0.25">
      <c r="B9" s="118" t="s">
        <v>684</v>
      </c>
      <c r="C9" s="118">
        <v>4</v>
      </c>
      <c r="D9" s="13">
        <v>40651</v>
      </c>
      <c r="E9" s="13">
        <f t="shared" si="0"/>
        <v>48374.689999999995</v>
      </c>
      <c r="F9" s="13">
        <v>52000</v>
      </c>
      <c r="G9" s="13">
        <v>54500</v>
      </c>
    </row>
    <row r="10" spans="2:7" ht="15" customHeight="1" x14ac:dyDescent="0.25">
      <c r="B10" s="118" t="s">
        <v>685</v>
      </c>
      <c r="C10" s="118">
        <v>9</v>
      </c>
      <c r="D10" s="13">
        <v>15104</v>
      </c>
      <c r="E10" s="13">
        <f t="shared" si="0"/>
        <v>17973.759999999998</v>
      </c>
      <c r="F10" s="13">
        <v>19000</v>
      </c>
      <c r="G10" s="13">
        <v>20000</v>
      </c>
    </row>
    <row r="11" spans="2:7" ht="15" customHeight="1" x14ac:dyDescent="0.25">
      <c r="B11" s="118" t="s">
        <v>686</v>
      </c>
      <c r="C11" s="118">
        <v>9</v>
      </c>
      <c r="D11" s="13">
        <v>40651</v>
      </c>
      <c r="E11" s="13">
        <f t="shared" si="0"/>
        <v>48374.689999999995</v>
      </c>
      <c r="F11" s="13">
        <v>52000</v>
      </c>
      <c r="G11" s="13">
        <v>54500</v>
      </c>
    </row>
    <row r="12" spans="2:7" ht="15" customHeight="1" x14ac:dyDescent="0.25">
      <c r="B12" s="118" t="s">
        <v>687</v>
      </c>
      <c r="C12" s="118">
        <v>10</v>
      </c>
      <c r="D12" s="13">
        <v>13805</v>
      </c>
      <c r="E12" s="13">
        <f t="shared" si="0"/>
        <v>16427.95</v>
      </c>
      <c r="F12" s="13">
        <v>18000</v>
      </c>
      <c r="G12" s="13">
        <v>19000</v>
      </c>
    </row>
    <row r="13" spans="2:7" ht="15" customHeight="1" x14ac:dyDescent="0.25">
      <c r="B13" s="118" t="s">
        <v>688</v>
      </c>
      <c r="C13" s="118">
        <v>15</v>
      </c>
      <c r="D13" s="13">
        <v>40651</v>
      </c>
      <c r="E13" s="13">
        <f t="shared" si="0"/>
        <v>48374.689999999995</v>
      </c>
      <c r="F13" s="13">
        <v>52000</v>
      </c>
      <c r="G13" s="13">
        <v>54500</v>
      </c>
    </row>
    <row r="14" spans="2:7" ht="15" customHeight="1" x14ac:dyDescent="0.25">
      <c r="B14" s="118" t="s">
        <v>689</v>
      </c>
      <c r="C14" s="118">
        <v>5</v>
      </c>
      <c r="D14" s="13">
        <v>8130</v>
      </c>
      <c r="E14" s="13">
        <v>1612</v>
      </c>
      <c r="F14" s="147">
        <v>1770</v>
      </c>
      <c r="G14" s="147">
        <v>1950</v>
      </c>
    </row>
    <row r="15" spans="2:7" ht="15" customHeight="1" x14ac:dyDescent="0.25">
      <c r="B15" s="118" t="s">
        <v>690</v>
      </c>
      <c r="C15" s="118">
        <v>25</v>
      </c>
      <c r="D15" s="13">
        <v>13805</v>
      </c>
      <c r="E15" s="13">
        <f t="shared" si="0"/>
        <v>16427.95</v>
      </c>
      <c r="F15" s="13">
        <v>18000</v>
      </c>
      <c r="G15" s="13">
        <v>19000</v>
      </c>
    </row>
    <row r="16" spans="2:7" ht="15" customHeight="1" x14ac:dyDescent="0.25">
      <c r="B16" s="118" t="s">
        <v>691</v>
      </c>
      <c r="C16" s="118">
        <v>30</v>
      </c>
      <c r="D16" s="13">
        <v>13805</v>
      </c>
      <c r="E16" s="13">
        <f t="shared" si="0"/>
        <v>16427.95</v>
      </c>
      <c r="F16" s="13">
        <v>18000</v>
      </c>
      <c r="G16" s="13">
        <v>19000</v>
      </c>
    </row>
    <row r="17" spans="2:11" ht="15" customHeight="1" x14ac:dyDescent="0.25">
      <c r="B17" s="118" t="s">
        <v>692</v>
      </c>
      <c r="C17" s="118">
        <v>20</v>
      </c>
      <c r="D17" s="13">
        <v>40651</v>
      </c>
      <c r="E17" s="13">
        <f t="shared" si="0"/>
        <v>48374.689999999995</v>
      </c>
      <c r="F17" s="13">
        <v>52000</v>
      </c>
      <c r="G17" s="13">
        <v>54500</v>
      </c>
    </row>
    <row r="18" spans="2:11" ht="15" customHeight="1" x14ac:dyDescent="0.25">
      <c r="B18" s="118" t="s">
        <v>693</v>
      </c>
      <c r="C18" s="118">
        <v>30</v>
      </c>
      <c r="D18" s="13">
        <v>13805</v>
      </c>
      <c r="E18" s="13">
        <f t="shared" si="0"/>
        <v>16427.95</v>
      </c>
      <c r="F18" s="13">
        <v>18000</v>
      </c>
      <c r="G18" s="13">
        <v>19000</v>
      </c>
    </row>
    <row r="19" spans="2:11" ht="15" customHeight="1" x14ac:dyDescent="0.25">
      <c r="B19" s="118" t="s">
        <v>694</v>
      </c>
      <c r="C19" s="118">
        <v>20</v>
      </c>
      <c r="D19" s="13">
        <v>40651</v>
      </c>
      <c r="E19" s="13">
        <f t="shared" si="0"/>
        <v>48374.689999999995</v>
      </c>
      <c r="F19" s="13">
        <v>52000</v>
      </c>
      <c r="G19" s="13">
        <v>54500</v>
      </c>
    </row>
    <row r="20" spans="2:11" ht="15" customHeight="1" x14ac:dyDescent="0.25">
      <c r="B20" s="118" t="s">
        <v>695</v>
      </c>
      <c r="C20" s="118">
        <v>3</v>
      </c>
      <c r="D20" s="13">
        <v>47262</v>
      </c>
      <c r="E20" s="13">
        <f t="shared" si="0"/>
        <v>56241.78</v>
      </c>
      <c r="F20" s="13">
        <v>59000</v>
      </c>
      <c r="G20" s="13">
        <v>62000</v>
      </c>
    </row>
    <row r="21" spans="2:11" ht="15" customHeight="1" x14ac:dyDescent="0.25">
      <c r="B21" s="118" t="s">
        <v>696</v>
      </c>
      <c r="C21" s="118">
        <v>2</v>
      </c>
      <c r="D21" s="13">
        <v>37809</v>
      </c>
      <c r="E21" s="13">
        <f t="shared" si="0"/>
        <v>44992.71</v>
      </c>
      <c r="F21" s="13">
        <v>47500</v>
      </c>
      <c r="G21" s="13">
        <v>52000</v>
      </c>
    </row>
    <row r="22" spans="2:11" ht="15" customHeight="1" x14ac:dyDescent="0.25">
      <c r="B22" s="118" t="s">
        <v>697</v>
      </c>
      <c r="C22" s="118">
        <v>5</v>
      </c>
      <c r="D22" s="13">
        <v>37809</v>
      </c>
      <c r="E22" s="13">
        <f t="shared" si="0"/>
        <v>44992.71</v>
      </c>
      <c r="F22" s="13">
        <v>47500</v>
      </c>
      <c r="G22" s="13">
        <v>52000</v>
      </c>
      <c r="K22">
        <f>16500+20000+8500</f>
        <v>45000</v>
      </c>
    </row>
    <row r="23" spans="2:11" ht="15" customHeight="1" x14ac:dyDescent="0.25">
      <c r="B23" s="118" t="s">
        <v>698</v>
      </c>
      <c r="C23" s="118">
        <v>2</v>
      </c>
      <c r="D23" s="13">
        <v>37809</v>
      </c>
      <c r="E23" s="13">
        <f t="shared" si="0"/>
        <v>44992.71</v>
      </c>
      <c r="F23" s="13">
        <v>47500</v>
      </c>
      <c r="G23" s="13">
        <v>52000</v>
      </c>
    </row>
    <row r="24" spans="2:11" ht="15" customHeight="1" x14ac:dyDescent="0.25">
      <c r="B24" s="118" t="s">
        <v>699</v>
      </c>
      <c r="C24" s="118">
        <v>5</v>
      </c>
      <c r="D24" s="13">
        <v>12599</v>
      </c>
      <c r="E24" s="13">
        <f t="shared" si="0"/>
        <v>14992.81</v>
      </c>
      <c r="F24" s="13">
        <v>16500</v>
      </c>
      <c r="G24" s="13">
        <v>18000</v>
      </c>
    </row>
    <row r="25" spans="2:11" ht="15" customHeight="1" x14ac:dyDescent="0.25">
      <c r="B25" s="118" t="s">
        <v>700</v>
      </c>
      <c r="C25" s="118">
        <v>5</v>
      </c>
      <c r="D25" s="13">
        <v>8130</v>
      </c>
      <c r="E25" s="13">
        <v>1612</v>
      </c>
      <c r="F25" s="147">
        <v>1770</v>
      </c>
      <c r="G25" s="147">
        <v>1950</v>
      </c>
    </row>
    <row r="26" spans="2:11" ht="15" customHeight="1" x14ac:dyDescent="0.25">
      <c r="B26" s="118" t="s">
        <v>701</v>
      </c>
      <c r="C26" s="118">
        <v>5</v>
      </c>
      <c r="D26" s="13">
        <v>8130</v>
      </c>
      <c r="E26" s="13">
        <v>1612</v>
      </c>
      <c r="F26" s="147">
        <v>1770</v>
      </c>
      <c r="G26" s="147">
        <v>1950</v>
      </c>
    </row>
  </sheetData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64"/>
  <sheetViews>
    <sheetView topLeftCell="A39" zoomScaleNormal="100" workbookViewId="0">
      <selection activeCell="F59" sqref="F59"/>
    </sheetView>
  </sheetViews>
  <sheetFormatPr baseColWidth="10" defaultColWidth="9.140625" defaultRowHeight="15" x14ac:dyDescent="0.25"/>
  <cols>
    <col min="2" max="2" width="11.5703125" bestFit="1" customWidth="1"/>
    <col min="3" max="3" width="20.7109375" customWidth="1"/>
    <col min="4" max="4" width="11.140625" bestFit="1" customWidth="1"/>
    <col min="5" max="5" width="18.28515625" customWidth="1"/>
    <col min="6" max="6" width="19.7109375" customWidth="1"/>
    <col min="7" max="7" width="10.42578125" bestFit="1" customWidth="1"/>
    <col min="12" max="12" width="9.28515625" style="12" bestFit="1" customWidth="1"/>
    <col min="13" max="13" width="9.42578125" style="12" bestFit="1" customWidth="1"/>
    <col min="14" max="16" width="9.42578125" bestFit="1" customWidth="1"/>
  </cols>
  <sheetData>
    <row r="2" spans="2:18" ht="15.75" x14ac:dyDescent="0.25">
      <c r="B2" s="35" t="s">
        <v>192</v>
      </c>
      <c r="C2" s="35" t="s">
        <v>280</v>
      </c>
      <c r="D2" s="64" t="s">
        <v>193</v>
      </c>
      <c r="E2" s="91" t="s">
        <v>194</v>
      </c>
    </row>
    <row r="4" spans="2:18" x14ac:dyDescent="0.25">
      <c r="B4" s="2" t="s">
        <v>281</v>
      </c>
      <c r="C4" s="2" t="s">
        <v>282</v>
      </c>
      <c r="D4" s="2">
        <v>2</v>
      </c>
      <c r="E4" s="36">
        <v>1750</v>
      </c>
    </row>
    <row r="5" spans="2:18" x14ac:dyDescent="0.25">
      <c r="B5" s="2" t="s">
        <v>281</v>
      </c>
      <c r="C5" s="2" t="s">
        <v>283</v>
      </c>
      <c r="D5" s="2">
        <v>2</v>
      </c>
      <c r="E5" s="36">
        <v>1750</v>
      </c>
    </row>
    <row r="6" spans="2:18" x14ac:dyDescent="0.25">
      <c r="B6" s="2" t="s">
        <v>281</v>
      </c>
      <c r="C6" s="2" t="s">
        <v>284</v>
      </c>
      <c r="D6" s="2">
        <v>4</v>
      </c>
      <c r="E6" s="36">
        <v>3500</v>
      </c>
    </row>
    <row r="7" spans="2:18" x14ac:dyDescent="0.25">
      <c r="B7" s="2" t="s">
        <v>281</v>
      </c>
      <c r="C7" s="2" t="s">
        <v>284</v>
      </c>
      <c r="D7" s="2">
        <v>5</v>
      </c>
      <c r="E7" s="36">
        <v>4500</v>
      </c>
      <c r="F7" t="s">
        <v>473</v>
      </c>
      <c r="G7" s="12">
        <v>3500</v>
      </c>
    </row>
    <row r="8" spans="2:18" x14ac:dyDescent="0.25">
      <c r="B8" s="10" t="s">
        <v>281</v>
      </c>
      <c r="C8" s="10" t="s">
        <v>282</v>
      </c>
      <c r="D8" s="10">
        <v>10</v>
      </c>
      <c r="E8" s="65">
        <v>8000</v>
      </c>
    </row>
    <row r="9" spans="2:18" x14ac:dyDescent="0.25">
      <c r="B9" s="10" t="s">
        <v>281</v>
      </c>
      <c r="C9" s="10" t="s">
        <v>283</v>
      </c>
      <c r="D9" s="10">
        <v>10</v>
      </c>
      <c r="E9" s="65">
        <v>8000</v>
      </c>
    </row>
    <row r="10" spans="2:18" x14ac:dyDescent="0.25">
      <c r="B10" s="10" t="s">
        <v>281</v>
      </c>
      <c r="C10" s="10" t="s">
        <v>282</v>
      </c>
      <c r="D10" s="10">
        <v>20</v>
      </c>
      <c r="E10" s="65">
        <v>15000</v>
      </c>
      <c r="F10" s="62">
        <v>45987</v>
      </c>
      <c r="L10" s="12">
        <v>16500</v>
      </c>
      <c r="M10" s="12">
        <v>8</v>
      </c>
      <c r="N10" s="57">
        <f>+L10*M10</f>
        <v>132000</v>
      </c>
      <c r="O10" s="57">
        <v>11400</v>
      </c>
      <c r="P10" s="57">
        <f>+N10-O10</f>
        <v>120600</v>
      </c>
      <c r="Q10" s="57">
        <v>8</v>
      </c>
      <c r="R10" s="57">
        <f>+P10/Q10</f>
        <v>15075</v>
      </c>
    </row>
    <row r="11" spans="2:18" x14ac:dyDescent="0.25">
      <c r="B11" s="10" t="s">
        <v>281</v>
      </c>
      <c r="C11" s="10" t="s">
        <v>283</v>
      </c>
      <c r="D11" s="10">
        <v>20</v>
      </c>
      <c r="E11" s="65">
        <v>15000</v>
      </c>
      <c r="F11" s="62">
        <v>45988</v>
      </c>
      <c r="L11" s="12">
        <v>16500</v>
      </c>
    </row>
    <row r="12" spans="2:18" x14ac:dyDescent="0.25">
      <c r="B12" s="2" t="s">
        <v>285</v>
      </c>
      <c r="C12" s="2" t="s">
        <v>286</v>
      </c>
      <c r="D12" s="2">
        <v>10</v>
      </c>
      <c r="E12" s="36">
        <v>10000</v>
      </c>
    </row>
    <row r="14" spans="2:18" hidden="1" x14ac:dyDescent="0.25">
      <c r="B14" s="134" t="s">
        <v>287</v>
      </c>
      <c r="C14" s="27" t="s">
        <v>282</v>
      </c>
      <c r="D14" s="27">
        <v>20</v>
      </c>
      <c r="E14" s="135">
        <v>11000</v>
      </c>
    </row>
    <row r="15" spans="2:18" hidden="1" x14ac:dyDescent="0.25">
      <c r="B15" s="134" t="s">
        <v>287</v>
      </c>
      <c r="C15" s="27" t="s">
        <v>283</v>
      </c>
      <c r="D15" s="27">
        <v>20</v>
      </c>
      <c r="E15" s="135">
        <v>11000</v>
      </c>
      <c r="G15">
        <f>20*1800</f>
        <v>36000</v>
      </c>
    </row>
    <row r="16" spans="2:18" hidden="1" x14ac:dyDescent="0.25">
      <c r="B16" s="134" t="s">
        <v>287</v>
      </c>
      <c r="C16" s="27" t="s">
        <v>289</v>
      </c>
      <c r="D16" s="27">
        <v>2</v>
      </c>
      <c r="E16" s="135">
        <v>1800</v>
      </c>
      <c r="I16">
        <v>1800</v>
      </c>
      <c r="J16">
        <v>16</v>
      </c>
      <c r="K16">
        <f>+J16*I16</f>
        <v>28800</v>
      </c>
    </row>
    <row r="17" spans="2:7" hidden="1" x14ac:dyDescent="0.25">
      <c r="B17" s="134" t="s">
        <v>287</v>
      </c>
      <c r="C17" s="27" t="s">
        <v>284</v>
      </c>
      <c r="D17" s="27">
        <v>4</v>
      </c>
      <c r="E17" s="135">
        <v>3500</v>
      </c>
    </row>
    <row r="18" spans="2:7" hidden="1" x14ac:dyDescent="0.25">
      <c r="B18" s="134" t="s">
        <v>287</v>
      </c>
      <c r="C18" s="27" t="s">
        <v>284</v>
      </c>
      <c r="D18" s="27">
        <v>8</v>
      </c>
      <c r="E18" s="135">
        <v>6500</v>
      </c>
    </row>
    <row r="19" spans="2:7" hidden="1" x14ac:dyDescent="0.25">
      <c r="B19" s="27" t="s">
        <v>288</v>
      </c>
      <c r="C19" s="27" t="s">
        <v>289</v>
      </c>
      <c r="D19" s="27">
        <v>20</v>
      </c>
      <c r="E19" s="135">
        <v>11000</v>
      </c>
    </row>
    <row r="20" spans="2:7" hidden="1" x14ac:dyDescent="0.25"/>
    <row r="21" spans="2:7" x14ac:dyDescent="0.25">
      <c r="B21" s="15" t="s">
        <v>290</v>
      </c>
      <c r="C21" s="2" t="s">
        <v>291</v>
      </c>
      <c r="D21" s="2">
        <v>10</v>
      </c>
      <c r="E21" s="36">
        <v>6500</v>
      </c>
    </row>
    <row r="22" spans="2:7" x14ac:dyDescent="0.25">
      <c r="B22" s="15" t="s">
        <v>290</v>
      </c>
      <c r="C22" s="2" t="s">
        <v>283</v>
      </c>
      <c r="D22" s="2">
        <v>10</v>
      </c>
      <c r="E22" s="36">
        <v>6500</v>
      </c>
    </row>
    <row r="24" spans="2:7" x14ac:dyDescent="0.25">
      <c r="B24" s="2" t="s">
        <v>292</v>
      </c>
      <c r="C24" s="2" t="s">
        <v>293</v>
      </c>
      <c r="D24" s="2">
        <v>8.6</v>
      </c>
      <c r="E24" s="36">
        <v>5500</v>
      </c>
    </row>
    <row r="26" spans="2:7" x14ac:dyDescent="0.25">
      <c r="B26" s="15" t="s">
        <v>294</v>
      </c>
      <c r="C26" s="2" t="s">
        <v>282</v>
      </c>
      <c r="D26" s="2">
        <v>2</v>
      </c>
      <c r="E26" s="142" t="s">
        <v>663</v>
      </c>
      <c r="F26" s="36">
        <v>1400</v>
      </c>
      <c r="G26" s="62">
        <v>46242</v>
      </c>
    </row>
    <row r="27" spans="2:7" x14ac:dyDescent="0.25">
      <c r="B27" s="92" t="s">
        <v>294</v>
      </c>
      <c r="C27" s="10" t="s">
        <v>283</v>
      </c>
      <c r="D27" s="10">
        <v>2</v>
      </c>
      <c r="E27" s="142" t="s">
        <v>663</v>
      </c>
      <c r="F27" s="65">
        <v>1400</v>
      </c>
    </row>
    <row r="28" spans="2:7" x14ac:dyDescent="0.25">
      <c r="B28" s="92" t="s">
        <v>294</v>
      </c>
      <c r="C28" s="10" t="s">
        <v>295</v>
      </c>
      <c r="D28" s="10">
        <v>8</v>
      </c>
      <c r="E28" s="142" t="s">
        <v>663</v>
      </c>
      <c r="F28" s="65">
        <v>4500</v>
      </c>
    </row>
    <row r="29" spans="2:7" x14ac:dyDescent="0.25">
      <c r="B29" s="92" t="s">
        <v>294</v>
      </c>
      <c r="C29" s="10" t="s">
        <v>433</v>
      </c>
      <c r="D29" s="10">
        <v>10</v>
      </c>
      <c r="E29" s="65">
        <v>6750</v>
      </c>
      <c r="F29" s="65"/>
    </row>
    <row r="30" spans="2:7" x14ac:dyDescent="0.25">
      <c r="B30" s="92" t="s">
        <v>294</v>
      </c>
      <c r="C30" s="10" t="s">
        <v>282</v>
      </c>
      <c r="D30" s="10">
        <v>20</v>
      </c>
      <c r="E30" s="65">
        <v>11000</v>
      </c>
    </row>
    <row r="31" spans="2:7" x14ac:dyDescent="0.25">
      <c r="B31" s="92" t="s">
        <v>294</v>
      </c>
      <c r="C31" s="10" t="s">
        <v>283</v>
      </c>
      <c r="D31" s="10">
        <v>20</v>
      </c>
      <c r="E31" s="65">
        <v>11000</v>
      </c>
    </row>
    <row r="33" spans="2:9" x14ac:dyDescent="0.25">
      <c r="B33" s="213" t="s">
        <v>275</v>
      </c>
      <c r="C33" s="2" t="s">
        <v>283</v>
      </c>
      <c r="D33" s="2">
        <v>2</v>
      </c>
      <c r="E33" s="36">
        <v>2200</v>
      </c>
    </row>
    <row r="34" spans="2:9" x14ac:dyDescent="0.25">
      <c r="B34" s="213"/>
      <c r="C34" s="2" t="s">
        <v>291</v>
      </c>
      <c r="D34" s="2">
        <v>2</v>
      </c>
      <c r="E34" s="36">
        <v>2200</v>
      </c>
    </row>
    <row r="35" spans="2:9" x14ac:dyDescent="0.25">
      <c r="B35" s="213"/>
      <c r="C35" s="2" t="s">
        <v>296</v>
      </c>
      <c r="D35" s="2">
        <v>2</v>
      </c>
      <c r="E35" s="36">
        <v>2200</v>
      </c>
    </row>
    <row r="36" spans="2:9" x14ac:dyDescent="0.25">
      <c r="B36" s="213"/>
      <c r="C36" s="2" t="s">
        <v>283</v>
      </c>
      <c r="D36" s="2">
        <v>4</v>
      </c>
      <c r="E36" s="36">
        <v>4000</v>
      </c>
    </row>
    <row r="37" spans="2:9" x14ac:dyDescent="0.25">
      <c r="B37" s="213"/>
      <c r="C37" s="2" t="s">
        <v>291</v>
      </c>
      <c r="D37" s="2">
        <v>4</v>
      </c>
      <c r="E37" s="36">
        <v>4000</v>
      </c>
    </row>
    <row r="38" spans="2:9" x14ac:dyDescent="0.25">
      <c r="B38" s="213"/>
      <c r="C38" s="2" t="s">
        <v>296</v>
      </c>
      <c r="D38" s="2">
        <v>4</v>
      </c>
      <c r="E38" s="36">
        <v>4000</v>
      </c>
    </row>
    <row r="39" spans="2:9" x14ac:dyDescent="0.25">
      <c r="B39" s="213"/>
      <c r="C39" s="2" t="s">
        <v>283</v>
      </c>
      <c r="D39" s="2">
        <v>10</v>
      </c>
      <c r="E39" s="36">
        <v>11000</v>
      </c>
    </row>
    <row r="40" spans="2:9" x14ac:dyDescent="0.25">
      <c r="B40" s="213"/>
      <c r="C40" s="2" t="s">
        <v>291</v>
      </c>
      <c r="D40" s="2">
        <v>10</v>
      </c>
      <c r="E40" s="36">
        <v>11000</v>
      </c>
    </row>
    <row r="41" spans="2:9" x14ac:dyDescent="0.25">
      <c r="B41" s="213"/>
      <c r="C41" s="2" t="s">
        <v>296</v>
      </c>
      <c r="D41" s="2">
        <v>10</v>
      </c>
      <c r="E41" s="36">
        <v>11000</v>
      </c>
    </row>
    <row r="42" spans="2:9" x14ac:dyDescent="0.25">
      <c r="B42" s="213"/>
      <c r="C42" s="2" t="s">
        <v>286</v>
      </c>
      <c r="D42" s="2">
        <v>10</v>
      </c>
      <c r="E42" s="36">
        <v>14000</v>
      </c>
    </row>
    <row r="44" spans="2:9" x14ac:dyDescent="0.25">
      <c r="B44" s="15" t="s">
        <v>297</v>
      </c>
      <c r="C44" s="2" t="s">
        <v>298</v>
      </c>
      <c r="D44" s="2">
        <v>8.5</v>
      </c>
      <c r="E44" s="36">
        <v>5650</v>
      </c>
    </row>
    <row r="45" spans="2:9" x14ac:dyDescent="0.25">
      <c r="B45" s="15" t="s">
        <v>297</v>
      </c>
      <c r="C45" s="2" t="s">
        <v>286</v>
      </c>
      <c r="D45" s="2">
        <v>8.5</v>
      </c>
      <c r="E45" s="36">
        <v>5650</v>
      </c>
    </row>
    <row r="47" spans="2:9" x14ac:dyDescent="0.25">
      <c r="B47" s="10" t="s">
        <v>506</v>
      </c>
      <c r="C47" s="10" t="s">
        <v>289</v>
      </c>
      <c r="D47" s="10">
        <v>10</v>
      </c>
      <c r="E47" s="65">
        <v>5200</v>
      </c>
      <c r="I47">
        <f>2300*1.19</f>
        <v>2737</v>
      </c>
    </row>
    <row r="48" spans="2:9" x14ac:dyDescent="0.25">
      <c r="B48" s="10" t="s">
        <v>506</v>
      </c>
      <c r="C48" s="10" t="s">
        <v>289</v>
      </c>
      <c r="D48" s="10">
        <v>20</v>
      </c>
      <c r="E48" s="65">
        <v>10000</v>
      </c>
    </row>
    <row r="49" spans="2:6" ht="15.75" thickBot="1" x14ac:dyDescent="0.3"/>
    <row r="50" spans="2:6" x14ac:dyDescent="0.25">
      <c r="B50" s="93" t="s">
        <v>192</v>
      </c>
      <c r="C50" s="94" t="s">
        <v>280</v>
      </c>
      <c r="D50" s="95" t="s">
        <v>193</v>
      </c>
      <c r="E50" s="98" t="s">
        <v>590</v>
      </c>
      <c r="F50" s="99" t="s">
        <v>589</v>
      </c>
    </row>
    <row r="51" spans="2:6" ht="15.75" thickBot="1" x14ac:dyDescent="0.3">
      <c r="B51" s="96" t="s">
        <v>586</v>
      </c>
      <c r="C51" s="97" t="s">
        <v>587</v>
      </c>
      <c r="D51" s="97" t="s">
        <v>588</v>
      </c>
      <c r="E51" s="101">
        <v>2900</v>
      </c>
      <c r="F51" s="100">
        <v>3700</v>
      </c>
    </row>
    <row r="53" spans="2:6" x14ac:dyDescent="0.25">
      <c r="B53" s="15" t="s">
        <v>287</v>
      </c>
      <c r="C53" s="2" t="s">
        <v>282</v>
      </c>
      <c r="D53" s="2">
        <v>20</v>
      </c>
      <c r="E53" s="36">
        <v>12000</v>
      </c>
    </row>
    <row r="54" spans="2:6" x14ac:dyDescent="0.25">
      <c r="B54" s="15" t="s">
        <v>287</v>
      </c>
      <c r="C54" s="2" t="s">
        <v>660</v>
      </c>
      <c r="D54" s="2">
        <v>20</v>
      </c>
      <c r="E54" s="36">
        <v>12000</v>
      </c>
    </row>
    <row r="55" spans="2:6" x14ac:dyDescent="0.25">
      <c r="B55" s="15" t="s">
        <v>287</v>
      </c>
      <c r="C55" s="2" t="s">
        <v>289</v>
      </c>
      <c r="D55" s="2">
        <v>2</v>
      </c>
      <c r="E55" s="36">
        <v>1800</v>
      </c>
    </row>
    <row r="56" spans="2:6" x14ac:dyDescent="0.25">
      <c r="B56" s="15" t="s">
        <v>287</v>
      </c>
      <c r="C56" s="2" t="s">
        <v>659</v>
      </c>
      <c r="D56" s="2">
        <v>4</v>
      </c>
      <c r="E56" s="36">
        <v>3500</v>
      </c>
    </row>
    <row r="57" spans="2:6" x14ac:dyDescent="0.25">
      <c r="B57" s="15" t="s">
        <v>287</v>
      </c>
      <c r="C57" s="2" t="s">
        <v>289</v>
      </c>
      <c r="D57" s="2">
        <v>8</v>
      </c>
      <c r="E57" s="36">
        <v>6500</v>
      </c>
    </row>
    <row r="60" spans="2:6" x14ac:dyDescent="0.25">
      <c r="B60" s="15" t="s">
        <v>287</v>
      </c>
      <c r="C60" s="2" t="s">
        <v>282</v>
      </c>
      <c r="D60" s="2" t="s">
        <v>8</v>
      </c>
      <c r="E60" s="13">
        <v>16000</v>
      </c>
      <c r="F60" s="214" t="s">
        <v>627</v>
      </c>
    </row>
    <row r="61" spans="2:6" x14ac:dyDescent="0.25">
      <c r="B61" s="15" t="s">
        <v>287</v>
      </c>
      <c r="C61" s="2" t="s">
        <v>283</v>
      </c>
      <c r="D61" s="2" t="s">
        <v>8</v>
      </c>
      <c r="E61" s="13">
        <v>16000</v>
      </c>
      <c r="F61" s="215"/>
    </row>
    <row r="62" spans="2:6" x14ac:dyDescent="0.25">
      <c r="B62" s="15" t="s">
        <v>287</v>
      </c>
      <c r="C62" s="10" t="s">
        <v>293</v>
      </c>
      <c r="D62" s="2" t="s">
        <v>8</v>
      </c>
      <c r="E62" s="13">
        <v>16000</v>
      </c>
      <c r="F62" s="215"/>
    </row>
    <row r="63" spans="2:6" x14ac:dyDescent="0.25">
      <c r="B63" s="15" t="s">
        <v>287</v>
      </c>
      <c r="C63" s="10" t="s">
        <v>626</v>
      </c>
      <c r="D63" s="2" t="s">
        <v>8</v>
      </c>
      <c r="E63" s="13">
        <v>16000</v>
      </c>
      <c r="F63" s="216"/>
    </row>
    <row r="64" spans="2:6" x14ac:dyDescent="0.25">
      <c r="E64" s="12"/>
    </row>
  </sheetData>
  <mergeCells count="2">
    <mergeCell ref="B33:B42"/>
    <mergeCell ref="F60:F63"/>
  </mergeCells>
  <pageMargins left="0.7" right="0.7" top="0.75" bottom="0.75" header="0.3" footer="0.3"/>
  <pageSetup paperSize="9" scale="43" fitToHeight="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28"/>
  <sheetViews>
    <sheetView tabSelected="1" topLeftCell="A88" zoomScale="62" zoomScaleNormal="62" workbookViewId="0">
      <selection activeCell="E104" sqref="E104"/>
    </sheetView>
  </sheetViews>
  <sheetFormatPr baseColWidth="10" defaultRowHeight="23.25" x14ac:dyDescent="0.35"/>
  <cols>
    <col min="2" max="2" width="74.85546875" bestFit="1" customWidth="1"/>
    <col min="3" max="3" width="19.5703125" bestFit="1" customWidth="1"/>
    <col min="4" max="4" width="22" style="38" bestFit="1" customWidth="1"/>
    <col min="5" max="5" width="51.5703125" bestFit="1" customWidth="1"/>
    <col min="6" max="6" width="17.140625" bestFit="1" customWidth="1"/>
    <col min="7" max="7" width="42" bestFit="1" customWidth="1"/>
  </cols>
  <sheetData>
    <row r="2" spans="2:8" x14ac:dyDescent="0.35">
      <c r="B2" s="218" t="s">
        <v>299</v>
      </c>
      <c r="C2" s="218"/>
      <c r="D2" s="218"/>
    </row>
    <row r="3" spans="2:8" x14ac:dyDescent="0.35">
      <c r="B3" s="173" t="s">
        <v>617</v>
      </c>
      <c r="C3" s="174" t="s">
        <v>578</v>
      </c>
      <c r="D3" s="173" t="s">
        <v>498</v>
      </c>
    </row>
    <row r="4" spans="2:8" x14ac:dyDescent="0.35">
      <c r="B4" s="41" t="s">
        <v>300</v>
      </c>
      <c r="C4" s="42">
        <v>11300</v>
      </c>
      <c r="D4" s="42">
        <v>13000</v>
      </c>
      <c r="E4" s="48"/>
      <c r="G4" s="171" t="s">
        <v>300</v>
      </c>
      <c r="H4" s="172">
        <v>12000</v>
      </c>
    </row>
    <row r="5" spans="2:8" x14ac:dyDescent="0.35">
      <c r="B5" s="41" t="s">
        <v>301</v>
      </c>
      <c r="C5" s="42">
        <v>12000</v>
      </c>
      <c r="D5" s="42">
        <v>14000</v>
      </c>
      <c r="E5" s="48"/>
      <c r="G5" s="171" t="s">
        <v>301</v>
      </c>
      <c r="H5" s="172">
        <v>13000</v>
      </c>
    </row>
    <row r="6" spans="2:8" x14ac:dyDescent="0.35">
      <c r="B6" s="41" t="s">
        <v>302</v>
      </c>
      <c r="C6" s="42">
        <v>13800</v>
      </c>
      <c r="D6" s="42">
        <v>15500</v>
      </c>
      <c r="E6" s="48"/>
      <c r="G6" s="171" t="s">
        <v>302</v>
      </c>
      <c r="H6" s="172">
        <v>15000</v>
      </c>
    </row>
    <row r="7" spans="2:8" x14ac:dyDescent="0.35">
      <c r="B7" s="41" t="s">
        <v>303</v>
      </c>
      <c r="C7" s="42">
        <v>18000</v>
      </c>
      <c r="D7" s="42">
        <v>20000</v>
      </c>
      <c r="E7" s="48"/>
      <c r="G7" s="171" t="s">
        <v>303</v>
      </c>
      <c r="H7" s="172">
        <v>19000</v>
      </c>
    </row>
    <row r="8" spans="2:8" x14ac:dyDescent="0.35">
      <c r="B8" s="41" t="s">
        <v>474</v>
      </c>
      <c r="C8" s="42">
        <v>4900</v>
      </c>
      <c r="D8" s="42">
        <v>6000</v>
      </c>
      <c r="E8" s="48"/>
      <c r="G8" s="171" t="s">
        <v>474</v>
      </c>
      <c r="H8" s="172">
        <v>4800</v>
      </c>
    </row>
    <row r="9" spans="2:8" x14ac:dyDescent="0.35">
      <c r="B9" s="41" t="s">
        <v>475</v>
      </c>
      <c r="C9" s="42">
        <v>5200</v>
      </c>
      <c r="D9" s="42">
        <v>7000</v>
      </c>
      <c r="E9" s="48"/>
      <c r="G9" s="171" t="s">
        <v>475</v>
      </c>
      <c r="H9" s="172">
        <v>5200</v>
      </c>
    </row>
    <row r="10" spans="2:8" x14ac:dyDescent="0.35">
      <c r="B10" s="41" t="s">
        <v>476</v>
      </c>
      <c r="C10" s="42">
        <v>5800</v>
      </c>
      <c r="D10" s="42">
        <v>7500</v>
      </c>
      <c r="E10" s="48"/>
      <c r="G10" s="171" t="s">
        <v>476</v>
      </c>
      <c r="H10" s="172">
        <v>6200</v>
      </c>
    </row>
    <row r="11" spans="2:8" x14ac:dyDescent="0.35">
      <c r="B11" s="41" t="s">
        <v>477</v>
      </c>
      <c r="C11" s="42">
        <v>8500</v>
      </c>
      <c r="D11" s="42">
        <v>11000</v>
      </c>
      <c r="E11" s="48"/>
      <c r="G11" s="171" t="s">
        <v>477</v>
      </c>
      <c r="H11" s="172">
        <v>7000</v>
      </c>
    </row>
    <row r="12" spans="2:8" x14ac:dyDescent="0.35">
      <c r="B12" s="177"/>
      <c r="C12" s="114"/>
      <c r="D12" s="114"/>
    </row>
    <row r="13" spans="2:8" x14ac:dyDescent="0.35">
      <c r="B13" s="41" t="s">
        <v>316</v>
      </c>
      <c r="C13" s="42">
        <v>11500</v>
      </c>
      <c r="D13" s="42">
        <v>14000</v>
      </c>
      <c r="G13" s="172" t="s">
        <v>316</v>
      </c>
      <c r="H13" s="172">
        <v>11900</v>
      </c>
    </row>
    <row r="14" spans="2:8" x14ac:dyDescent="0.35">
      <c r="B14" s="41" t="s">
        <v>746</v>
      </c>
      <c r="C14" s="42">
        <v>9500</v>
      </c>
      <c r="D14" s="42">
        <v>12000</v>
      </c>
      <c r="F14">
        <f>5*23000</f>
        <v>115000</v>
      </c>
      <c r="G14" s="171" t="s">
        <v>745</v>
      </c>
      <c r="H14" s="172"/>
    </row>
    <row r="15" spans="2:8" x14ac:dyDescent="0.35">
      <c r="B15" s="41" t="s">
        <v>747</v>
      </c>
      <c r="C15" s="42">
        <v>6200</v>
      </c>
      <c r="D15" s="42">
        <v>8000</v>
      </c>
      <c r="G15" s="175"/>
      <c r="H15" s="52"/>
    </row>
    <row r="16" spans="2:8" x14ac:dyDescent="0.35">
      <c r="B16" s="41" t="s">
        <v>748</v>
      </c>
      <c r="C16" s="42">
        <v>7500</v>
      </c>
      <c r="D16" s="42">
        <v>9000</v>
      </c>
      <c r="G16" s="175"/>
      <c r="H16" s="52"/>
    </row>
    <row r="17" spans="2:8" x14ac:dyDescent="0.35">
      <c r="B17" s="41" t="s">
        <v>749</v>
      </c>
      <c r="C17" s="42">
        <v>8500</v>
      </c>
      <c r="D17" s="42">
        <v>10000</v>
      </c>
      <c r="G17" s="175"/>
      <c r="H17" s="52"/>
    </row>
    <row r="18" spans="2:8" x14ac:dyDescent="0.35">
      <c r="B18" s="41" t="s">
        <v>750</v>
      </c>
      <c r="C18" s="42">
        <v>9300</v>
      </c>
      <c r="D18" s="42">
        <v>11000</v>
      </c>
      <c r="G18" s="175"/>
      <c r="H18" s="52"/>
    </row>
    <row r="19" spans="2:8" x14ac:dyDescent="0.35">
      <c r="B19" s="38"/>
      <c r="C19" s="37"/>
      <c r="D19" s="37"/>
      <c r="G19" s="57"/>
    </row>
    <row r="20" spans="2:8" x14ac:dyDescent="0.35">
      <c r="B20" s="41" t="s">
        <v>304</v>
      </c>
      <c r="C20" s="42">
        <v>5300</v>
      </c>
      <c r="D20" s="37"/>
    </row>
    <row r="21" spans="2:8" x14ac:dyDescent="0.35">
      <c r="B21" s="39" t="s">
        <v>305</v>
      </c>
      <c r="C21" s="42">
        <v>11900</v>
      </c>
      <c r="D21" s="37"/>
    </row>
    <row r="22" spans="2:8" x14ac:dyDescent="0.35">
      <c r="B22" s="38"/>
      <c r="C22" s="114"/>
      <c r="D22" s="37"/>
    </row>
    <row r="23" spans="2:8" x14ac:dyDescent="0.35">
      <c r="B23" s="39" t="s">
        <v>306</v>
      </c>
      <c r="C23" s="42">
        <v>4500</v>
      </c>
      <c r="D23" s="37"/>
    </row>
    <row r="24" spans="2:8" x14ac:dyDescent="0.35">
      <c r="B24" s="41" t="s">
        <v>307</v>
      </c>
      <c r="C24" s="42">
        <v>4900</v>
      </c>
      <c r="D24" s="37"/>
      <c r="F24" s="12"/>
    </row>
    <row r="25" spans="2:8" x14ac:dyDescent="0.35">
      <c r="B25" s="39" t="s">
        <v>308</v>
      </c>
      <c r="C25" s="42">
        <v>5500</v>
      </c>
      <c r="D25" s="37"/>
      <c r="F25" s="58"/>
    </row>
    <row r="26" spans="2:8" x14ac:dyDescent="0.35">
      <c r="B26" s="39" t="s">
        <v>309</v>
      </c>
      <c r="C26" s="42">
        <v>7300</v>
      </c>
      <c r="D26" s="37"/>
    </row>
    <row r="27" spans="2:8" x14ac:dyDescent="0.35">
      <c r="B27" s="38"/>
      <c r="C27" s="114"/>
      <c r="D27" s="37"/>
      <c r="F27" s="54"/>
    </row>
    <row r="28" spans="2:8" x14ac:dyDescent="0.35">
      <c r="B28" s="41" t="s">
        <v>310</v>
      </c>
      <c r="C28" s="42">
        <v>12900</v>
      </c>
      <c r="D28" s="37"/>
    </row>
    <row r="29" spans="2:8" x14ac:dyDescent="0.35">
      <c r="B29" s="41" t="s">
        <v>311</v>
      </c>
      <c r="C29" s="42">
        <v>14500</v>
      </c>
      <c r="D29" s="37"/>
    </row>
    <row r="30" spans="2:8" x14ac:dyDescent="0.35">
      <c r="B30" s="39" t="s">
        <v>312</v>
      </c>
      <c r="C30" s="42">
        <v>19000</v>
      </c>
      <c r="D30" s="37"/>
    </row>
    <row r="31" spans="2:8" x14ac:dyDescent="0.35">
      <c r="B31" s="39" t="s">
        <v>313</v>
      </c>
      <c r="C31" s="40">
        <v>21000</v>
      </c>
      <c r="D31" s="37"/>
    </row>
    <row r="32" spans="2:8" x14ac:dyDescent="0.35">
      <c r="B32" s="38"/>
      <c r="C32" s="37"/>
      <c r="D32" s="37"/>
    </row>
    <row r="33" spans="1:8" x14ac:dyDescent="0.35">
      <c r="B33" s="39" t="s">
        <v>314</v>
      </c>
      <c r="C33" s="40">
        <v>7600</v>
      </c>
      <c r="D33" s="37"/>
    </row>
    <row r="34" spans="1:8" x14ac:dyDescent="0.35">
      <c r="B34" s="39" t="s">
        <v>315</v>
      </c>
      <c r="C34" s="40">
        <v>9000</v>
      </c>
    </row>
    <row r="35" spans="1:8" x14ac:dyDescent="0.35">
      <c r="B35" s="39" t="s">
        <v>702</v>
      </c>
      <c r="C35" s="40">
        <v>12000</v>
      </c>
    </row>
    <row r="36" spans="1:8" ht="23.25" customHeight="1" x14ac:dyDescent="0.35">
      <c r="B36" s="115"/>
      <c r="C36" s="115"/>
    </row>
    <row r="37" spans="1:8" x14ac:dyDescent="0.35">
      <c r="B37" s="116" t="s">
        <v>461</v>
      </c>
      <c r="C37" s="117">
        <v>770</v>
      </c>
    </row>
    <row r="38" spans="1:8" x14ac:dyDescent="0.35">
      <c r="B38" s="41" t="s">
        <v>460</v>
      </c>
      <c r="C38" s="42">
        <v>46000</v>
      </c>
    </row>
    <row r="39" spans="1:8" x14ac:dyDescent="0.35">
      <c r="B39" s="41" t="s">
        <v>661</v>
      </c>
      <c r="C39" s="42">
        <v>38500</v>
      </c>
    </row>
    <row r="40" spans="1:8" x14ac:dyDescent="0.35">
      <c r="B40" s="116" t="s">
        <v>467</v>
      </c>
      <c r="C40" s="42">
        <v>2700</v>
      </c>
    </row>
    <row r="41" spans="1:8" ht="23.25" customHeight="1" x14ac:dyDescent="0.35">
      <c r="A41" s="45"/>
      <c r="B41" s="150"/>
      <c r="C41" s="150"/>
      <c r="D41" s="176"/>
    </row>
    <row r="42" spans="1:8" x14ac:dyDescent="0.35">
      <c r="B42" s="39" t="s">
        <v>453</v>
      </c>
      <c r="C42" s="119">
        <v>3800</v>
      </c>
    </row>
    <row r="43" spans="1:8" x14ac:dyDescent="0.35">
      <c r="B43" s="39" t="s">
        <v>454</v>
      </c>
      <c r="C43" s="119">
        <v>3000</v>
      </c>
    </row>
    <row r="44" spans="1:8" x14ac:dyDescent="0.35">
      <c r="B44" s="39" t="s">
        <v>455</v>
      </c>
      <c r="C44" s="119">
        <v>3700</v>
      </c>
    </row>
    <row r="45" spans="1:8" x14ac:dyDescent="0.35">
      <c r="B45" s="39" t="s">
        <v>456</v>
      </c>
      <c r="C45" s="119">
        <v>5500</v>
      </c>
      <c r="H45">
        <f>3800*5</f>
        <v>19000</v>
      </c>
    </row>
    <row r="46" spans="1:8" x14ac:dyDescent="0.35">
      <c r="B46" s="39" t="s">
        <v>457</v>
      </c>
      <c r="C46" s="119">
        <v>7500</v>
      </c>
      <c r="H46">
        <v>134000</v>
      </c>
    </row>
    <row r="47" spans="1:8" x14ac:dyDescent="0.35">
      <c r="B47" s="39" t="s">
        <v>548</v>
      </c>
      <c r="C47" s="119">
        <v>13000</v>
      </c>
    </row>
    <row r="48" spans="1:8" x14ac:dyDescent="0.35">
      <c r="B48" s="39" t="s">
        <v>549</v>
      </c>
      <c r="C48" s="119">
        <v>9000</v>
      </c>
      <c r="E48" s="45"/>
      <c r="H48">
        <f>+H46+H45</f>
        <v>153000</v>
      </c>
    </row>
    <row r="49" spans="2:4" x14ac:dyDescent="0.35">
      <c r="B49" s="39" t="s">
        <v>547</v>
      </c>
      <c r="C49" s="119">
        <v>6500</v>
      </c>
    </row>
    <row r="50" spans="2:4" x14ac:dyDescent="0.35">
      <c r="B50" s="39"/>
      <c r="C50" s="40"/>
    </row>
    <row r="51" spans="2:4" ht="23.25" customHeight="1" x14ac:dyDescent="0.35">
      <c r="B51" s="115"/>
      <c r="C51" s="12"/>
    </row>
    <row r="52" spans="2:4" ht="23.25" customHeight="1" x14ac:dyDescent="0.35">
      <c r="B52" s="217" t="s">
        <v>625</v>
      </c>
      <c r="C52" s="217"/>
    </row>
    <row r="53" spans="2:4" ht="23.25" customHeight="1" x14ac:dyDescent="0.35">
      <c r="B53" s="116" t="s">
        <v>461</v>
      </c>
      <c r="C53" s="117">
        <v>770</v>
      </c>
    </row>
    <row r="54" spans="2:4" ht="23.25" customHeight="1" x14ac:dyDescent="0.35">
      <c r="B54" s="116" t="s">
        <v>467</v>
      </c>
      <c r="C54" s="42">
        <v>2700</v>
      </c>
    </row>
    <row r="55" spans="2:4" ht="23.25" customHeight="1" x14ac:dyDescent="0.35">
      <c r="B55" s="150"/>
      <c r="C55" s="150"/>
      <c r="D55" s="176"/>
    </row>
    <row r="56" spans="2:4" x14ac:dyDescent="0.35">
      <c r="B56" s="39" t="s">
        <v>453</v>
      </c>
      <c r="C56" s="40">
        <v>3200</v>
      </c>
    </row>
    <row r="57" spans="2:4" x14ac:dyDescent="0.35">
      <c r="B57" s="39" t="s">
        <v>454</v>
      </c>
      <c r="C57" s="40">
        <v>2620</v>
      </c>
    </row>
    <row r="58" spans="2:4" x14ac:dyDescent="0.35">
      <c r="B58" s="39" t="s">
        <v>455</v>
      </c>
      <c r="C58" s="40">
        <v>3310</v>
      </c>
    </row>
    <row r="59" spans="2:4" x14ac:dyDescent="0.35">
      <c r="B59" s="39" t="s">
        <v>456</v>
      </c>
      <c r="C59" s="40">
        <v>4780</v>
      </c>
    </row>
    <row r="60" spans="2:4" x14ac:dyDescent="0.35">
      <c r="B60" s="39" t="s">
        <v>457</v>
      </c>
      <c r="C60" s="40">
        <v>6710</v>
      </c>
    </row>
    <row r="61" spans="2:4" x14ac:dyDescent="0.35">
      <c r="B61" s="39" t="s">
        <v>548</v>
      </c>
      <c r="C61" s="40">
        <v>11700</v>
      </c>
    </row>
    <row r="62" spans="2:4" x14ac:dyDescent="0.35">
      <c r="B62" s="39" t="s">
        <v>549</v>
      </c>
      <c r="C62" s="40">
        <v>7800</v>
      </c>
    </row>
    <row r="63" spans="2:4" x14ac:dyDescent="0.35">
      <c r="B63" s="39" t="s">
        <v>547</v>
      </c>
      <c r="C63" s="40">
        <v>5800</v>
      </c>
    </row>
    <row r="64" spans="2:4" x14ac:dyDescent="0.35">
      <c r="B64" s="140"/>
      <c r="C64" s="141"/>
    </row>
    <row r="65" spans="2:6" ht="23.25" customHeight="1" x14ac:dyDescent="0.35">
      <c r="B65" s="39" t="s">
        <v>617</v>
      </c>
      <c r="C65" s="39" t="s">
        <v>632</v>
      </c>
      <c r="D65" s="39" t="s">
        <v>633</v>
      </c>
      <c r="E65" s="41" t="s">
        <v>652</v>
      </c>
      <c r="F65" s="41" t="s">
        <v>656</v>
      </c>
    </row>
    <row r="66" spans="2:6" ht="23.25" customHeight="1" x14ac:dyDescent="0.35">
      <c r="B66" s="145" t="s">
        <v>643</v>
      </c>
      <c r="C66" s="42">
        <v>5500</v>
      </c>
      <c r="D66" s="40">
        <v>6500</v>
      </c>
      <c r="E66" s="39" t="s">
        <v>653</v>
      </c>
      <c r="F66" s="39" t="s">
        <v>657</v>
      </c>
    </row>
    <row r="67" spans="2:6" ht="23.25" customHeight="1" x14ac:dyDescent="0.35">
      <c r="B67" s="145" t="s">
        <v>644</v>
      </c>
      <c r="C67" s="42">
        <v>8500</v>
      </c>
      <c r="D67" s="40">
        <v>9500</v>
      </c>
      <c r="E67" s="39" t="s">
        <v>653</v>
      </c>
      <c r="F67" s="39" t="s">
        <v>657</v>
      </c>
    </row>
    <row r="68" spans="2:6" ht="23.25" customHeight="1" x14ac:dyDescent="0.35">
      <c r="B68" s="145" t="s">
        <v>645</v>
      </c>
      <c r="C68" s="42">
        <v>10000</v>
      </c>
      <c r="D68" s="40">
        <v>11500</v>
      </c>
      <c r="E68" s="39" t="s">
        <v>654</v>
      </c>
      <c r="F68" s="39" t="s">
        <v>657</v>
      </c>
    </row>
    <row r="69" spans="2:6" ht="23.25" customHeight="1" x14ac:dyDescent="0.35">
      <c r="B69" s="145" t="s">
        <v>646</v>
      </c>
      <c r="C69" s="42">
        <v>14700</v>
      </c>
      <c r="D69" s="40">
        <v>16500</v>
      </c>
      <c r="E69" s="39" t="s">
        <v>654</v>
      </c>
      <c r="F69" s="39" t="s">
        <v>657</v>
      </c>
    </row>
    <row r="70" spans="2:6" ht="23.25" customHeight="1" x14ac:dyDescent="0.35">
      <c r="B70" s="145" t="s">
        <v>647</v>
      </c>
      <c r="C70" s="42">
        <v>6000</v>
      </c>
      <c r="D70" s="40">
        <v>7100</v>
      </c>
      <c r="E70" s="39" t="s">
        <v>654</v>
      </c>
      <c r="F70" s="39" t="s">
        <v>657</v>
      </c>
    </row>
    <row r="71" spans="2:6" ht="23.25" customHeight="1" x14ac:dyDescent="0.35">
      <c r="B71" s="145" t="s">
        <v>648</v>
      </c>
      <c r="C71" s="42">
        <v>7500</v>
      </c>
      <c r="D71" s="40">
        <v>8500</v>
      </c>
      <c r="E71" s="39" t="s">
        <v>654</v>
      </c>
      <c r="F71" s="39" t="s">
        <v>657</v>
      </c>
    </row>
    <row r="72" spans="2:6" ht="23.25" customHeight="1" x14ac:dyDescent="0.35">
      <c r="B72" s="145" t="s">
        <v>649</v>
      </c>
      <c r="C72" s="42">
        <v>9700</v>
      </c>
      <c r="D72" s="40">
        <v>11000</v>
      </c>
      <c r="E72" s="39" t="s">
        <v>654</v>
      </c>
      <c r="F72" s="39" t="s">
        <v>657</v>
      </c>
    </row>
    <row r="73" spans="2:6" ht="23.25" customHeight="1" x14ac:dyDescent="0.35">
      <c r="B73" s="145" t="s">
        <v>650</v>
      </c>
      <c r="C73" s="42">
        <v>29700</v>
      </c>
      <c r="D73" s="40">
        <v>32000</v>
      </c>
      <c r="E73" s="39" t="s">
        <v>655</v>
      </c>
      <c r="F73" s="39" t="s">
        <v>658</v>
      </c>
    </row>
    <row r="74" spans="2:6" ht="23.25" customHeight="1" x14ac:dyDescent="0.35">
      <c r="B74" s="145" t="s">
        <v>651</v>
      </c>
      <c r="C74" s="42">
        <v>30150</v>
      </c>
      <c r="D74" s="40">
        <v>33500</v>
      </c>
      <c r="E74" s="39" t="s">
        <v>655</v>
      </c>
      <c r="F74" s="39" t="s">
        <v>658</v>
      </c>
    </row>
    <row r="75" spans="2:6" ht="23.25" customHeight="1" x14ac:dyDescent="0.35">
      <c r="B75" s="38"/>
      <c r="C75" s="38"/>
    </row>
    <row r="76" spans="2:6" ht="23.25" customHeight="1" x14ac:dyDescent="0.35"/>
    <row r="77" spans="2:6" ht="23.25" customHeight="1" x14ac:dyDescent="0.35">
      <c r="B77" s="149" t="s">
        <v>605</v>
      </c>
      <c r="C77" s="42">
        <v>7300</v>
      </c>
    </row>
    <row r="78" spans="2:6" ht="23.25" customHeight="1" x14ac:dyDescent="0.35">
      <c r="B78" s="149" t="s">
        <v>606</v>
      </c>
      <c r="C78" s="42">
        <v>5500</v>
      </c>
    </row>
    <row r="79" spans="2:6" ht="23.25" customHeight="1" x14ac:dyDescent="0.35">
      <c r="B79" s="149" t="s">
        <v>607</v>
      </c>
      <c r="C79" s="42">
        <v>5000</v>
      </c>
    </row>
    <row r="80" spans="2:6" ht="23.25" customHeight="1" x14ac:dyDescent="0.35">
      <c r="B80" s="149" t="s">
        <v>608</v>
      </c>
      <c r="C80" s="42">
        <v>5800</v>
      </c>
    </row>
    <row r="81" spans="1:4" ht="23.25" customHeight="1" x14ac:dyDescent="0.35">
      <c r="B81" s="149" t="s">
        <v>609</v>
      </c>
      <c r="C81" s="42">
        <v>7900</v>
      </c>
    </row>
    <row r="82" spans="1:4" ht="23.25" customHeight="1" x14ac:dyDescent="0.35">
      <c r="B82" s="149" t="s">
        <v>612</v>
      </c>
      <c r="C82" s="42">
        <v>4500</v>
      </c>
    </row>
    <row r="83" spans="1:4" ht="23.25" customHeight="1" x14ac:dyDescent="0.35">
      <c r="B83" s="149" t="s">
        <v>610</v>
      </c>
      <c r="C83" s="42">
        <v>5900</v>
      </c>
    </row>
    <row r="84" spans="1:4" x14ac:dyDescent="0.35">
      <c r="B84" s="149" t="s">
        <v>611</v>
      </c>
      <c r="C84" s="42">
        <v>10000</v>
      </c>
    </row>
    <row r="85" spans="1:4" x14ac:dyDescent="0.35">
      <c r="A85" t="s">
        <v>753</v>
      </c>
      <c r="B85" s="149" t="s">
        <v>613</v>
      </c>
      <c r="C85" s="42">
        <v>5000</v>
      </c>
    </row>
    <row r="86" spans="1:4" x14ac:dyDescent="0.35">
      <c r="B86" s="149" t="s">
        <v>614</v>
      </c>
      <c r="C86" s="42">
        <v>4700</v>
      </c>
    </row>
    <row r="87" spans="1:4" x14ac:dyDescent="0.35">
      <c r="B87" s="149" t="s">
        <v>615</v>
      </c>
      <c r="C87" s="42">
        <v>4700</v>
      </c>
    </row>
    <row r="88" spans="1:4" x14ac:dyDescent="0.35">
      <c r="B88" s="149" t="s">
        <v>616</v>
      </c>
      <c r="C88" s="42">
        <v>4900</v>
      </c>
    </row>
    <row r="90" spans="1:4" ht="37.5" customHeight="1" x14ac:dyDescent="0.25">
      <c r="B90" s="170" t="s">
        <v>617</v>
      </c>
      <c r="C90" s="170" t="s">
        <v>578</v>
      </c>
      <c r="D90" s="170" t="s">
        <v>498</v>
      </c>
    </row>
    <row r="91" spans="1:4" ht="23.25" customHeight="1" x14ac:dyDescent="0.35">
      <c r="B91" s="149" t="s">
        <v>754</v>
      </c>
      <c r="C91" s="42">
        <v>14800</v>
      </c>
      <c r="D91" s="40">
        <v>16900</v>
      </c>
    </row>
    <row r="92" spans="1:4" ht="23.25" customHeight="1" x14ac:dyDescent="0.35">
      <c r="B92" s="149" t="s">
        <v>755</v>
      </c>
      <c r="C92" s="42">
        <v>5100</v>
      </c>
      <c r="D92" s="40">
        <v>6500</v>
      </c>
    </row>
    <row r="93" spans="1:4" ht="23.25" customHeight="1" x14ac:dyDescent="0.35">
      <c r="B93" s="149" t="s">
        <v>731</v>
      </c>
      <c r="C93" s="42">
        <v>16500</v>
      </c>
      <c r="D93" s="40">
        <v>18900</v>
      </c>
    </row>
    <row r="94" spans="1:4" ht="23.25" customHeight="1" x14ac:dyDescent="0.35">
      <c r="B94" s="149" t="s">
        <v>740</v>
      </c>
      <c r="C94" s="42">
        <v>5900</v>
      </c>
      <c r="D94" s="40">
        <v>6900</v>
      </c>
    </row>
    <row r="95" spans="1:4" ht="23.25" customHeight="1" x14ac:dyDescent="0.35">
      <c r="B95" s="149" t="s">
        <v>732</v>
      </c>
      <c r="C95" s="42">
        <v>23300</v>
      </c>
      <c r="D95" s="40">
        <v>26500</v>
      </c>
    </row>
    <row r="96" spans="1:4" ht="23.25" customHeight="1" x14ac:dyDescent="0.35">
      <c r="B96" s="149" t="s">
        <v>733</v>
      </c>
      <c r="C96" s="42">
        <v>25500</v>
      </c>
      <c r="D96" s="40">
        <v>29000</v>
      </c>
    </row>
    <row r="97" spans="2:4" ht="23.25" customHeight="1" x14ac:dyDescent="0.35">
      <c r="B97" s="149" t="s">
        <v>734</v>
      </c>
      <c r="C97" s="42">
        <v>13900</v>
      </c>
      <c r="D97" s="40">
        <v>16000</v>
      </c>
    </row>
    <row r="98" spans="2:4" ht="23.25" customHeight="1" x14ac:dyDescent="0.35">
      <c r="B98" s="149" t="s">
        <v>735</v>
      </c>
      <c r="C98" s="42">
        <v>5500</v>
      </c>
      <c r="D98" s="40">
        <v>6500</v>
      </c>
    </row>
    <row r="99" spans="2:4" ht="23.25" customHeight="1" x14ac:dyDescent="0.35">
      <c r="B99" s="149" t="s">
        <v>736</v>
      </c>
      <c r="C99" s="42">
        <v>8400</v>
      </c>
      <c r="D99" s="40">
        <v>9500</v>
      </c>
    </row>
    <row r="100" spans="2:4" ht="23.25" customHeight="1" x14ac:dyDescent="0.35">
      <c r="B100" s="149" t="s">
        <v>737</v>
      </c>
      <c r="C100" s="42">
        <v>10000</v>
      </c>
      <c r="D100" s="40">
        <v>11500</v>
      </c>
    </row>
    <row r="101" spans="2:4" ht="23.25" customHeight="1" x14ac:dyDescent="0.35">
      <c r="B101" s="149" t="s">
        <v>738</v>
      </c>
      <c r="C101" s="42">
        <v>14700</v>
      </c>
      <c r="D101" s="40">
        <v>17000</v>
      </c>
    </row>
    <row r="102" spans="2:4" ht="23.25" customHeight="1" x14ac:dyDescent="0.35">
      <c r="B102" s="149" t="s">
        <v>739</v>
      </c>
      <c r="C102" s="42">
        <v>4900</v>
      </c>
      <c r="D102" s="40">
        <v>5900</v>
      </c>
    </row>
    <row r="103" spans="2:4" ht="23.25" customHeight="1" x14ac:dyDescent="0.35"/>
    <row r="104" spans="2:4" ht="23.25" customHeight="1" x14ac:dyDescent="0.35"/>
    <row r="105" spans="2:4" ht="23.25" customHeight="1" x14ac:dyDescent="0.35">
      <c r="B105" s="149" t="s">
        <v>741</v>
      </c>
      <c r="C105" s="42">
        <v>8700</v>
      </c>
      <c r="D105" s="40">
        <v>10000</v>
      </c>
    </row>
    <row r="106" spans="2:4" ht="23.25" customHeight="1" x14ac:dyDescent="0.35">
      <c r="B106" s="149" t="s">
        <v>742</v>
      </c>
      <c r="C106" s="42">
        <v>23700</v>
      </c>
      <c r="D106" s="40">
        <v>26900</v>
      </c>
    </row>
    <row r="107" spans="2:4" ht="23.25" customHeight="1" x14ac:dyDescent="0.35">
      <c r="B107" s="149" t="s">
        <v>743</v>
      </c>
      <c r="C107" s="42">
        <v>25500</v>
      </c>
      <c r="D107" s="40">
        <v>28000</v>
      </c>
    </row>
    <row r="108" spans="2:4" ht="23.25" customHeight="1" x14ac:dyDescent="0.35">
      <c r="B108" s="149" t="s">
        <v>744</v>
      </c>
      <c r="C108" s="42">
        <v>28500</v>
      </c>
      <c r="D108" s="40">
        <v>30500</v>
      </c>
    </row>
    <row r="109" spans="2:4" ht="23.25" customHeight="1" x14ac:dyDescent="0.35"/>
    <row r="110" spans="2:4" ht="23.25" customHeight="1" x14ac:dyDescent="0.35"/>
    <row r="111" spans="2:4" ht="23.25" customHeight="1" x14ac:dyDescent="0.35"/>
    <row r="112" spans="2:4" ht="23.25" customHeight="1" x14ac:dyDescent="0.35"/>
    <row r="113" ht="23.25" customHeight="1" x14ac:dyDescent="0.35"/>
    <row r="114" ht="23.25" customHeight="1" x14ac:dyDescent="0.35"/>
    <row r="115" ht="23.25" customHeight="1" x14ac:dyDescent="0.35"/>
    <row r="116" ht="23.25" customHeight="1" x14ac:dyDescent="0.35"/>
    <row r="117" ht="23.25" customHeight="1" x14ac:dyDescent="0.35"/>
    <row r="118" ht="23.25" customHeight="1" x14ac:dyDescent="0.35"/>
    <row r="119" ht="23.25" customHeight="1" x14ac:dyDescent="0.35"/>
    <row r="120" ht="23.25" customHeight="1" x14ac:dyDescent="0.35"/>
    <row r="121" ht="23.25" customHeight="1" x14ac:dyDescent="0.35"/>
    <row r="122" ht="23.25" customHeight="1" x14ac:dyDescent="0.35"/>
    <row r="123" ht="23.25" customHeight="1" x14ac:dyDescent="0.35"/>
    <row r="124" ht="23.25" customHeight="1" x14ac:dyDescent="0.35"/>
    <row r="125" ht="23.25" customHeight="1" x14ac:dyDescent="0.35"/>
    <row r="126" ht="23.25" customHeight="1" x14ac:dyDescent="0.35"/>
    <row r="127" ht="23.25" customHeight="1" x14ac:dyDescent="0.35"/>
    <row r="128" ht="23.25" customHeight="1" x14ac:dyDescent="0.35"/>
  </sheetData>
  <mergeCells count="2">
    <mergeCell ref="B52:C52"/>
    <mergeCell ref="B2:D2"/>
  </mergeCells>
  <pageMargins left="1" right="1" top="1" bottom="1" header="0.5" footer="0.5"/>
  <pageSetup scale="2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96"/>
  <sheetViews>
    <sheetView topLeftCell="A25" zoomScale="85" zoomScaleNormal="85" workbookViewId="0">
      <selection activeCell="D34" sqref="D34"/>
    </sheetView>
  </sheetViews>
  <sheetFormatPr baseColWidth="10" defaultRowHeight="15" x14ac:dyDescent="0.25"/>
  <cols>
    <col min="2" max="2" width="12.7109375" bestFit="1" customWidth="1"/>
    <col min="3" max="3" width="21.42578125" bestFit="1" customWidth="1"/>
    <col min="4" max="4" width="49.5703125" bestFit="1" customWidth="1"/>
    <col min="5" max="5" width="10" bestFit="1" customWidth="1"/>
    <col min="6" max="6" width="9.7109375" style="12" customWidth="1"/>
  </cols>
  <sheetData>
    <row r="2" spans="2:6" x14ac:dyDescent="0.25">
      <c r="B2" s="82" t="s">
        <v>192</v>
      </c>
      <c r="C2" s="82" t="s">
        <v>247</v>
      </c>
      <c r="D2" s="82" t="s">
        <v>317</v>
      </c>
      <c r="E2" s="82" t="s">
        <v>193</v>
      </c>
      <c r="F2" s="83" t="s">
        <v>194</v>
      </c>
    </row>
    <row r="3" spans="2:6" ht="18.75" customHeight="1" x14ac:dyDescent="0.25">
      <c r="B3" s="80" t="s">
        <v>318</v>
      </c>
      <c r="C3" s="80" t="s">
        <v>4</v>
      </c>
      <c r="D3" s="84" t="s">
        <v>319</v>
      </c>
      <c r="E3" s="80" t="s">
        <v>320</v>
      </c>
      <c r="F3" s="85">
        <v>4950</v>
      </c>
    </row>
    <row r="4" spans="2:6" ht="18.75" customHeight="1" x14ac:dyDescent="0.25">
      <c r="B4" s="80" t="s">
        <v>318</v>
      </c>
      <c r="C4" s="80" t="s">
        <v>4</v>
      </c>
      <c r="D4" s="84" t="s">
        <v>321</v>
      </c>
      <c r="E4" s="80" t="s">
        <v>320</v>
      </c>
      <c r="F4" s="85">
        <v>3200</v>
      </c>
    </row>
    <row r="5" spans="2:6" ht="18.75" customHeight="1" x14ac:dyDescent="0.25">
      <c r="B5" s="80" t="s">
        <v>318</v>
      </c>
      <c r="C5" s="80" t="s">
        <v>4</v>
      </c>
      <c r="D5" s="84" t="s">
        <v>322</v>
      </c>
      <c r="E5" s="80" t="s">
        <v>320</v>
      </c>
      <c r="F5" s="85">
        <v>1950</v>
      </c>
    </row>
    <row r="6" spans="2:6" ht="18.75" customHeight="1" x14ac:dyDescent="0.25">
      <c r="B6" s="80" t="s">
        <v>318</v>
      </c>
      <c r="C6" s="80" t="s">
        <v>4</v>
      </c>
      <c r="D6" s="84" t="s">
        <v>323</v>
      </c>
      <c r="E6" s="80" t="s">
        <v>320</v>
      </c>
      <c r="F6" s="85">
        <v>2900</v>
      </c>
    </row>
    <row r="7" spans="2:6" ht="18.75" customHeight="1" x14ac:dyDescent="0.25">
      <c r="B7" s="80" t="s">
        <v>318</v>
      </c>
      <c r="C7" s="80" t="s">
        <v>4</v>
      </c>
      <c r="D7" s="84" t="s">
        <v>324</v>
      </c>
      <c r="E7" s="80" t="s">
        <v>320</v>
      </c>
      <c r="F7" s="85">
        <v>1450</v>
      </c>
    </row>
    <row r="8" spans="2:6" ht="18.75" customHeight="1" x14ac:dyDescent="0.25">
      <c r="B8" s="80" t="s">
        <v>318</v>
      </c>
      <c r="C8" s="80" t="s">
        <v>4</v>
      </c>
      <c r="D8" s="84" t="s">
        <v>325</v>
      </c>
      <c r="E8" s="80" t="s">
        <v>320</v>
      </c>
      <c r="F8" s="85">
        <v>1700</v>
      </c>
    </row>
    <row r="9" spans="2:6" ht="18.75" customHeight="1" x14ac:dyDescent="0.25">
      <c r="B9" s="80" t="s">
        <v>318</v>
      </c>
      <c r="C9" s="80" t="s">
        <v>4</v>
      </c>
      <c r="D9" s="84" t="s">
        <v>326</v>
      </c>
      <c r="E9" s="80" t="s">
        <v>320</v>
      </c>
      <c r="F9" s="85">
        <v>2800</v>
      </c>
    </row>
    <row r="10" spans="2:6" ht="18.75" customHeight="1" x14ac:dyDescent="0.25">
      <c r="B10" s="80" t="s">
        <v>318</v>
      </c>
      <c r="C10" s="80" t="s">
        <v>4</v>
      </c>
      <c r="D10" s="84" t="s">
        <v>327</v>
      </c>
      <c r="E10" s="80" t="s">
        <v>320</v>
      </c>
      <c r="F10" s="85">
        <v>1400</v>
      </c>
    </row>
    <row r="11" spans="2:6" ht="18.75" customHeight="1" x14ac:dyDescent="0.25">
      <c r="B11" s="80" t="s">
        <v>318</v>
      </c>
      <c r="C11" s="80" t="s">
        <v>4</v>
      </c>
      <c r="D11" s="84" t="s">
        <v>328</v>
      </c>
      <c r="E11" s="80" t="s">
        <v>320</v>
      </c>
      <c r="F11" s="85">
        <v>1500</v>
      </c>
    </row>
    <row r="12" spans="2:6" ht="18.75" customHeight="1" x14ac:dyDescent="0.25">
      <c r="B12" s="80" t="s">
        <v>318</v>
      </c>
      <c r="C12" s="80" t="s">
        <v>4</v>
      </c>
      <c r="D12" s="84" t="s">
        <v>329</v>
      </c>
      <c r="E12" s="80" t="s">
        <v>320</v>
      </c>
      <c r="F12" s="85">
        <v>4600</v>
      </c>
    </row>
    <row r="13" spans="2:6" ht="18.75" customHeight="1" x14ac:dyDescent="0.25">
      <c r="B13" s="80" t="s">
        <v>318</v>
      </c>
      <c r="C13" s="80" t="s">
        <v>4</v>
      </c>
      <c r="D13" s="84" t="s">
        <v>330</v>
      </c>
      <c r="E13" s="80" t="s">
        <v>320</v>
      </c>
      <c r="F13" s="85">
        <v>4600</v>
      </c>
    </row>
    <row r="14" spans="2:6" ht="18.75" customHeight="1" x14ac:dyDescent="0.25">
      <c r="B14" s="80" t="s">
        <v>318</v>
      </c>
      <c r="C14" s="80" t="s">
        <v>4</v>
      </c>
      <c r="D14" s="84" t="s">
        <v>331</v>
      </c>
      <c r="E14" s="80" t="s">
        <v>320</v>
      </c>
      <c r="F14" s="85">
        <v>4600</v>
      </c>
    </row>
    <row r="15" spans="2:6" ht="18.75" customHeight="1" x14ac:dyDescent="0.25">
      <c r="B15" s="80" t="s">
        <v>318</v>
      </c>
      <c r="C15" s="80" t="s">
        <v>4</v>
      </c>
      <c r="D15" s="84" t="s">
        <v>630</v>
      </c>
      <c r="E15" s="80" t="s">
        <v>320</v>
      </c>
      <c r="F15" s="85">
        <v>2000</v>
      </c>
    </row>
    <row r="16" spans="2:6" ht="18.75" customHeight="1" x14ac:dyDescent="0.25">
      <c r="B16" s="80" t="s">
        <v>318</v>
      </c>
      <c r="C16" s="80" t="s">
        <v>4</v>
      </c>
      <c r="D16" s="84" t="s">
        <v>629</v>
      </c>
      <c r="E16" s="80" t="s">
        <v>320</v>
      </c>
      <c r="F16" s="85">
        <v>2000</v>
      </c>
    </row>
    <row r="17" spans="2:8" x14ac:dyDescent="0.25">
      <c r="B17" s="80" t="s">
        <v>318</v>
      </c>
      <c r="C17" s="80" t="s">
        <v>4</v>
      </c>
      <c r="D17" s="84" t="s">
        <v>628</v>
      </c>
      <c r="E17" s="80" t="s">
        <v>320</v>
      </c>
      <c r="F17" s="85">
        <v>2000</v>
      </c>
    </row>
    <row r="18" spans="2:8" x14ac:dyDescent="0.25">
      <c r="B18" s="80" t="s">
        <v>318</v>
      </c>
      <c r="C18" s="80" t="s">
        <v>4</v>
      </c>
      <c r="D18" s="84" t="s">
        <v>332</v>
      </c>
      <c r="E18" s="80" t="s">
        <v>320</v>
      </c>
      <c r="F18" s="85">
        <v>3500</v>
      </c>
    </row>
    <row r="19" spans="2:8" x14ac:dyDescent="0.25">
      <c r="B19" s="80" t="s">
        <v>318</v>
      </c>
      <c r="C19" s="80" t="s">
        <v>4</v>
      </c>
      <c r="D19" s="84" t="s">
        <v>333</v>
      </c>
      <c r="E19" s="80" t="s">
        <v>320</v>
      </c>
      <c r="F19" s="85">
        <v>2600</v>
      </c>
    </row>
    <row r="20" spans="2:8" x14ac:dyDescent="0.25">
      <c r="B20" s="80" t="s">
        <v>318</v>
      </c>
      <c r="C20" s="80" t="s">
        <v>4</v>
      </c>
      <c r="D20" s="80" t="s">
        <v>334</v>
      </c>
      <c r="E20" s="80" t="s">
        <v>320</v>
      </c>
      <c r="F20" s="85">
        <v>1500</v>
      </c>
    </row>
    <row r="21" spans="2:8" x14ac:dyDescent="0.25">
      <c r="B21" s="80" t="s">
        <v>272</v>
      </c>
      <c r="C21" s="80" t="s">
        <v>4</v>
      </c>
      <c r="D21" s="80" t="s">
        <v>335</v>
      </c>
      <c r="E21" s="80" t="s">
        <v>320</v>
      </c>
      <c r="F21" s="85">
        <f>20*530</f>
        <v>10600</v>
      </c>
    </row>
    <row r="22" spans="2:8" x14ac:dyDescent="0.25">
      <c r="B22" s="86" t="s">
        <v>447</v>
      </c>
      <c r="C22" s="86" t="s">
        <v>448</v>
      </c>
      <c r="D22" s="86" t="s">
        <v>449</v>
      </c>
      <c r="E22" s="86" t="s">
        <v>320</v>
      </c>
      <c r="F22" s="87">
        <v>7950</v>
      </c>
    </row>
    <row r="23" spans="2:8" x14ac:dyDescent="0.25">
      <c r="B23" s="86" t="s">
        <v>336</v>
      </c>
      <c r="C23" s="86" t="s">
        <v>1</v>
      </c>
      <c r="D23" s="86" t="s">
        <v>446</v>
      </c>
      <c r="E23" s="86" t="s">
        <v>320</v>
      </c>
      <c r="F23" s="87">
        <v>12720</v>
      </c>
      <c r="G23">
        <v>24</v>
      </c>
      <c r="H23">
        <f>+F23/G23</f>
        <v>530</v>
      </c>
    </row>
    <row r="24" spans="2:8" x14ac:dyDescent="0.25">
      <c r="B24" s="86" t="s">
        <v>336</v>
      </c>
      <c r="C24" s="86" t="s">
        <v>1</v>
      </c>
      <c r="D24" s="86" t="s">
        <v>337</v>
      </c>
      <c r="E24" s="86" t="s">
        <v>320</v>
      </c>
      <c r="F24" s="87">
        <v>22800</v>
      </c>
      <c r="G24" s="14">
        <v>24</v>
      </c>
      <c r="H24" s="52"/>
    </row>
    <row r="25" spans="2:8" x14ac:dyDescent="0.25">
      <c r="B25" s="80" t="s">
        <v>338</v>
      </c>
      <c r="C25" s="80" t="s">
        <v>4</v>
      </c>
      <c r="D25" s="80" t="s">
        <v>339</v>
      </c>
      <c r="E25" s="80" t="s">
        <v>320</v>
      </c>
      <c r="F25" s="85">
        <v>14850</v>
      </c>
      <c r="H25" s="144"/>
    </row>
    <row r="26" spans="2:8" x14ac:dyDescent="0.25">
      <c r="B26" s="80" t="s">
        <v>340</v>
      </c>
      <c r="C26" s="80" t="s">
        <v>1</v>
      </c>
      <c r="D26" s="80" t="s">
        <v>341</v>
      </c>
      <c r="E26" s="80" t="s">
        <v>320</v>
      </c>
      <c r="F26" s="85">
        <v>2000</v>
      </c>
      <c r="H26" s="45"/>
    </row>
    <row r="27" spans="2:8" x14ac:dyDescent="0.25">
      <c r="B27" s="80" t="s">
        <v>340</v>
      </c>
      <c r="C27" s="80" t="s">
        <v>4</v>
      </c>
      <c r="D27" s="80" t="s">
        <v>342</v>
      </c>
      <c r="E27" s="80" t="s">
        <v>320</v>
      </c>
      <c r="F27" s="85">
        <v>4000</v>
      </c>
    </row>
    <row r="28" spans="2:8" x14ac:dyDescent="0.25">
      <c r="B28" s="80" t="s">
        <v>343</v>
      </c>
      <c r="C28" s="80" t="s">
        <v>1</v>
      </c>
      <c r="D28" s="80" t="s">
        <v>344</v>
      </c>
      <c r="E28" s="80" t="s">
        <v>320</v>
      </c>
      <c r="F28" s="85">
        <v>950</v>
      </c>
    </row>
    <row r="29" spans="2:8" x14ac:dyDescent="0.25">
      <c r="B29" s="80" t="s">
        <v>343</v>
      </c>
      <c r="C29" s="80" t="s">
        <v>1</v>
      </c>
      <c r="D29" s="80" t="s">
        <v>345</v>
      </c>
      <c r="E29" s="80" t="s">
        <v>320</v>
      </c>
      <c r="F29" s="85">
        <v>950</v>
      </c>
    </row>
    <row r="30" spans="2:8" x14ac:dyDescent="0.25">
      <c r="B30" s="80" t="s">
        <v>343</v>
      </c>
      <c r="C30" s="80" t="s">
        <v>1</v>
      </c>
      <c r="D30" s="80" t="s">
        <v>346</v>
      </c>
      <c r="E30" s="80" t="s">
        <v>320</v>
      </c>
      <c r="F30" s="85">
        <v>1200</v>
      </c>
    </row>
    <row r="31" spans="2:8" x14ac:dyDescent="0.25">
      <c r="B31" s="80" t="s">
        <v>347</v>
      </c>
      <c r="C31" s="80" t="s">
        <v>1</v>
      </c>
      <c r="D31" s="80" t="s">
        <v>348</v>
      </c>
      <c r="E31" s="80" t="s">
        <v>320</v>
      </c>
      <c r="F31" s="85">
        <v>950</v>
      </c>
    </row>
    <row r="32" spans="2:8" x14ac:dyDescent="0.25">
      <c r="B32" s="80" t="s">
        <v>281</v>
      </c>
      <c r="C32" s="80" t="s">
        <v>1</v>
      </c>
      <c r="D32" s="80" t="s">
        <v>550</v>
      </c>
      <c r="E32" s="80" t="s">
        <v>320</v>
      </c>
      <c r="F32" s="85"/>
    </row>
    <row r="33" spans="2:6" x14ac:dyDescent="0.25">
      <c r="B33" s="80" t="s">
        <v>281</v>
      </c>
      <c r="C33" s="80" t="s">
        <v>1</v>
      </c>
      <c r="D33" s="80" t="s">
        <v>349</v>
      </c>
      <c r="E33" s="80" t="s">
        <v>320</v>
      </c>
      <c r="F33" s="85">
        <v>11500</v>
      </c>
    </row>
    <row r="34" spans="2:6" x14ac:dyDescent="0.25">
      <c r="B34" s="80" t="s">
        <v>49</v>
      </c>
      <c r="C34" s="80" t="s">
        <v>4</v>
      </c>
      <c r="D34" s="80" t="s">
        <v>350</v>
      </c>
      <c r="E34" s="80" t="s">
        <v>320</v>
      </c>
      <c r="F34" s="85">
        <v>1200</v>
      </c>
    </row>
    <row r="35" spans="2:6" x14ac:dyDescent="0.25">
      <c r="B35" s="80" t="s">
        <v>72</v>
      </c>
      <c r="C35" s="80" t="s">
        <v>1</v>
      </c>
      <c r="D35" s="80" t="s">
        <v>351</v>
      </c>
      <c r="E35" s="80" t="s">
        <v>320</v>
      </c>
      <c r="F35" s="85"/>
    </row>
    <row r="36" spans="2:6" x14ac:dyDescent="0.25">
      <c r="B36" s="84" t="s">
        <v>49</v>
      </c>
      <c r="C36" s="84" t="s">
        <v>4</v>
      </c>
      <c r="D36" s="84" t="s">
        <v>487</v>
      </c>
      <c r="E36" s="84" t="s">
        <v>488</v>
      </c>
      <c r="F36" s="85">
        <v>21900</v>
      </c>
    </row>
    <row r="37" spans="2:6" x14ac:dyDescent="0.25">
      <c r="B37" s="80" t="s">
        <v>508</v>
      </c>
      <c r="C37" s="80" t="s">
        <v>4</v>
      </c>
      <c r="D37" s="80" t="s">
        <v>509</v>
      </c>
      <c r="E37" s="80" t="s">
        <v>320</v>
      </c>
      <c r="F37" s="85">
        <v>1950</v>
      </c>
    </row>
    <row r="38" spans="2:6" x14ac:dyDescent="0.25">
      <c r="B38" s="80" t="s">
        <v>508</v>
      </c>
      <c r="C38" s="80" t="s">
        <v>4</v>
      </c>
      <c r="D38" s="80" t="s">
        <v>510</v>
      </c>
      <c r="E38" s="80" t="s">
        <v>320</v>
      </c>
      <c r="F38" s="85">
        <v>7000</v>
      </c>
    </row>
    <row r="39" spans="2:6" x14ac:dyDescent="0.25">
      <c r="B39" s="80" t="s">
        <v>508</v>
      </c>
      <c r="C39" s="80" t="s">
        <v>4</v>
      </c>
      <c r="D39" s="80" t="s">
        <v>511</v>
      </c>
      <c r="E39" s="80" t="s">
        <v>320</v>
      </c>
      <c r="F39" s="85">
        <v>1950</v>
      </c>
    </row>
    <row r="40" spans="2:6" x14ac:dyDescent="0.25">
      <c r="B40" s="80" t="s">
        <v>508</v>
      </c>
      <c r="C40" s="80" t="s">
        <v>4</v>
      </c>
      <c r="D40" s="80" t="s">
        <v>512</v>
      </c>
      <c r="E40" s="80" t="s">
        <v>320</v>
      </c>
      <c r="F40" s="85">
        <v>7000</v>
      </c>
    </row>
    <row r="41" spans="2:6" x14ac:dyDescent="0.25">
      <c r="B41" s="80" t="s">
        <v>508</v>
      </c>
      <c r="C41" s="80" t="s">
        <v>4</v>
      </c>
      <c r="D41" s="80" t="s">
        <v>513</v>
      </c>
      <c r="E41" s="80" t="s">
        <v>320</v>
      </c>
      <c r="F41" s="85">
        <v>1950</v>
      </c>
    </row>
    <row r="42" spans="2:6" x14ac:dyDescent="0.25">
      <c r="B42" s="80" t="s">
        <v>508</v>
      </c>
      <c r="C42" s="80" t="s">
        <v>4</v>
      </c>
      <c r="D42" s="80" t="s">
        <v>514</v>
      </c>
      <c r="E42" s="80" t="s">
        <v>320</v>
      </c>
      <c r="F42" s="85">
        <v>7000</v>
      </c>
    </row>
    <row r="43" spans="2:6" x14ac:dyDescent="0.25">
      <c r="B43" s="80" t="s">
        <v>508</v>
      </c>
      <c r="C43" s="80" t="s">
        <v>4</v>
      </c>
      <c r="D43" s="80" t="s">
        <v>515</v>
      </c>
      <c r="E43" s="80" t="s">
        <v>320</v>
      </c>
      <c r="F43" s="85">
        <v>1950</v>
      </c>
    </row>
    <row r="44" spans="2:6" x14ac:dyDescent="0.25">
      <c r="B44" s="80" t="s">
        <v>508</v>
      </c>
      <c r="C44" s="80" t="s">
        <v>4</v>
      </c>
      <c r="D44" s="80" t="s">
        <v>516</v>
      </c>
      <c r="E44" s="80" t="s">
        <v>320</v>
      </c>
      <c r="F44" s="85">
        <v>6900</v>
      </c>
    </row>
    <row r="45" spans="2:6" x14ac:dyDescent="0.25">
      <c r="B45" s="80" t="s">
        <v>508</v>
      </c>
      <c r="C45" s="80" t="s">
        <v>4</v>
      </c>
      <c r="D45" s="80" t="s">
        <v>517</v>
      </c>
      <c r="E45" s="80" t="s">
        <v>320</v>
      </c>
      <c r="F45" s="85">
        <v>6200</v>
      </c>
    </row>
    <row r="46" spans="2:6" x14ac:dyDescent="0.25">
      <c r="B46" s="80" t="s">
        <v>508</v>
      </c>
      <c r="C46" s="80" t="s">
        <v>4</v>
      </c>
      <c r="D46" s="80" t="s">
        <v>518</v>
      </c>
      <c r="E46" s="80" t="s">
        <v>320</v>
      </c>
      <c r="F46" s="85">
        <v>6200</v>
      </c>
    </row>
    <row r="47" spans="2:6" x14ac:dyDescent="0.25">
      <c r="B47" s="80" t="s">
        <v>508</v>
      </c>
      <c r="C47" s="80" t="s">
        <v>4</v>
      </c>
      <c r="D47" s="80" t="s">
        <v>519</v>
      </c>
      <c r="E47" s="80" t="s">
        <v>320</v>
      </c>
      <c r="F47" s="85">
        <v>6200</v>
      </c>
    </row>
    <row r="48" spans="2:6" x14ac:dyDescent="0.25">
      <c r="B48" s="80" t="s">
        <v>508</v>
      </c>
      <c r="C48" s="80" t="s">
        <v>4</v>
      </c>
      <c r="D48" s="80" t="s">
        <v>520</v>
      </c>
      <c r="E48" s="80" t="s">
        <v>320</v>
      </c>
      <c r="F48" s="85">
        <v>6200</v>
      </c>
    </row>
    <row r="49" spans="2:12" x14ac:dyDescent="0.25">
      <c r="B49" s="80" t="s">
        <v>508</v>
      </c>
      <c r="C49" s="80" t="s">
        <v>4</v>
      </c>
      <c r="D49" s="80" t="s">
        <v>521</v>
      </c>
      <c r="E49" s="80" t="s">
        <v>320</v>
      </c>
      <c r="F49" s="85">
        <v>2500</v>
      </c>
    </row>
    <row r="50" spans="2:12" x14ac:dyDescent="0.25">
      <c r="B50" s="80" t="s">
        <v>508</v>
      </c>
      <c r="C50" s="80" t="s">
        <v>4</v>
      </c>
      <c r="D50" s="80" t="s">
        <v>522</v>
      </c>
      <c r="E50" s="80" t="s">
        <v>320</v>
      </c>
      <c r="F50" s="85">
        <v>2500</v>
      </c>
    </row>
    <row r="51" spans="2:12" x14ac:dyDescent="0.25">
      <c r="B51" s="80" t="s">
        <v>508</v>
      </c>
      <c r="C51" s="80" t="s">
        <v>4</v>
      </c>
      <c r="D51" s="80" t="s">
        <v>523</v>
      </c>
      <c r="E51" s="80" t="s">
        <v>320</v>
      </c>
      <c r="F51" s="85">
        <v>2500</v>
      </c>
    </row>
    <row r="52" spans="2:12" x14ac:dyDescent="0.25">
      <c r="B52" s="80" t="s">
        <v>508</v>
      </c>
      <c r="C52" s="80" t="s">
        <v>4</v>
      </c>
      <c r="D52" s="80" t="s">
        <v>524</v>
      </c>
      <c r="E52" s="80" t="s">
        <v>320</v>
      </c>
      <c r="F52" s="85">
        <v>3500</v>
      </c>
    </row>
    <row r="53" spans="2:12" x14ac:dyDescent="0.25">
      <c r="B53" s="80" t="s">
        <v>508</v>
      </c>
      <c r="C53" s="80" t="s">
        <v>4</v>
      </c>
      <c r="D53" s="80" t="s">
        <v>525</v>
      </c>
      <c r="E53" s="80" t="s">
        <v>320</v>
      </c>
      <c r="F53" s="85">
        <v>3500</v>
      </c>
      <c r="L53">
        <f>1950*12</f>
        <v>23400</v>
      </c>
    </row>
    <row r="54" spans="2:12" x14ac:dyDescent="0.25">
      <c r="B54" s="80" t="s">
        <v>508</v>
      </c>
      <c r="C54" s="80" t="s">
        <v>4</v>
      </c>
      <c r="D54" s="80" t="s">
        <v>526</v>
      </c>
      <c r="E54" s="80" t="s">
        <v>320</v>
      </c>
      <c r="F54" s="85">
        <v>3500</v>
      </c>
    </row>
    <row r="55" spans="2:12" x14ac:dyDescent="0.25">
      <c r="B55" s="80" t="s">
        <v>508</v>
      </c>
      <c r="C55" s="80" t="s">
        <v>4</v>
      </c>
      <c r="D55" s="80" t="s">
        <v>527</v>
      </c>
      <c r="E55" s="80" t="s">
        <v>320</v>
      </c>
      <c r="F55" s="85">
        <v>3500</v>
      </c>
    </row>
    <row r="56" spans="2:12" x14ac:dyDescent="0.25">
      <c r="B56" s="80" t="s">
        <v>508</v>
      </c>
      <c r="C56" s="80" t="s">
        <v>4</v>
      </c>
      <c r="D56" s="80" t="s">
        <v>528</v>
      </c>
      <c r="E56" s="80" t="s">
        <v>320</v>
      </c>
      <c r="F56" s="85">
        <v>3500</v>
      </c>
    </row>
    <row r="57" spans="2:12" x14ac:dyDescent="0.25">
      <c r="B57" s="80" t="s">
        <v>508</v>
      </c>
      <c r="C57" s="80" t="s">
        <v>4</v>
      </c>
      <c r="D57" s="80" t="s">
        <v>529</v>
      </c>
      <c r="E57" s="80" t="s">
        <v>320</v>
      </c>
      <c r="F57" s="85">
        <v>1950</v>
      </c>
      <c r="G57" s="14"/>
    </row>
    <row r="58" spans="2:12" x14ac:dyDescent="0.25">
      <c r="B58" s="80" t="s">
        <v>508</v>
      </c>
      <c r="C58" s="80" t="s">
        <v>4</v>
      </c>
      <c r="D58" s="80" t="s">
        <v>530</v>
      </c>
      <c r="E58" s="80" t="s">
        <v>320</v>
      </c>
      <c r="F58" s="85">
        <v>1950</v>
      </c>
      <c r="G58" s="14"/>
    </row>
    <row r="59" spans="2:12" x14ac:dyDescent="0.25">
      <c r="B59" s="80" t="s">
        <v>508</v>
      </c>
      <c r="C59" s="80" t="s">
        <v>4</v>
      </c>
      <c r="D59" s="80" t="s">
        <v>531</v>
      </c>
      <c r="E59" s="80" t="s">
        <v>320</v>
      </c>
      <c r="F59" s="85">
        <v>1950</v>
      </c>
      <c r="G59" s="14"/>
    </row>
    <row r="60" spans="2:12" x14ac:dyDescent="0.25">
      <c r="B60" s="80" t="s">
        <v>508</v>
      </c>
      <c r="C60" s="80" t="s">
        <v>4</v>
      </c>
      <c r="D60" s="80" t="s">
        <v>532</v>
      </c>
      <c r="E60" s="80" t="s">
        <v>320</v>
      </c>
      <c r="F60" s="85">
        <v>1950</v>
      </c>
      <c r="G60" s="14"/>
    </row>
    <row r="61" spans="2:12" x14ac:dyDescent="0.25">
      <c r="B61" s="80" t="s">
        <v>508</v>
      </c>
      <c r="C61" s="80" t="s">
        <v>4</v>
      </c>
      <c r="D61" s="80" t="s">
        <v>533</v>
      </c>
      <c r="E61" s="80" t="s">
        <v>320</v>
      </c>
      <c r="F61" s="85">
        <v>1950</v>
      </c>
      <c r="G61" s="14"/>
    </row>
    <row r="62" spans="2:12" x14ac:dyDescent="0.25">
      <c r="B62" s="80" t="s">
        <v>508</v>
      </c>
      <c r="C62" s="80" t="s">
        <v>4</v>
      </c>
      <c r="D62" s="80" t="s">
        <v>534</v>
      </c>
      <c r="E62" s="80" t="s">
        <v>320</v>
      </c>
      <c r="F62" s="85">
        <v>1950</v>
      </c>
      <c r="G62" s="14"/>
    </row>
    <row r="63" spans="2:12" x14ac:dyDescent="0.25">
      <c r="B63" s="80" t="s">
        <v>508</v>
      </c>
      <c r="C63" s="80" t="s">
        <v>1</v>
      </c>
      <c r="D63" s="80" t="s">
        <v>464</v>
      </c>
      <c r="E63" s="80" t="s">
        <v>320</v>
      </c>
      <c r="F63" s="85">
        <v>1600</v>
      </c>
      <c r="G63" s="14"/>
    </row>
    <row r="64" spans="2:12" x14ac:dyDescent="0.25">
      <c r="B64" s="80" t="s">
        <v>508</v>
      </c>
      <c r="C64" s="80" t="s">
        <v>1</v>
      </c>
      <c r="D64" s="80" t="s">
        <v>465</v>
      </c>
      <c r="E64" s="80" t="s">
        <v>320</v>
      </c>
      <c r="F64" s="85">
        <v>1600</v>
      </c>
    </row>
    <row r="65" spans="2:8" x14ac:dyDescent="0.25">
      <c r="B65" s="80" t="s">
        <v>508</v>
      </c>
      <c r="C65" s="80" t="s">
        <v>4</v>
      </c>
      <c r="D65" s="80" t="s">
        <v>468</v>
      </c>
      <c r="E65" s="80" t="s">
        <v>320</v>
      </c>
      <c r="F65" s="85">
        <v>1400</v>
      </c>
    </row>
    <row r="66" spans="2:8" x14ac:dyDescent="0.25">
      <c r="B66" s="80" t="s">
        <v>508</v>
      </c>
      <c r="C66" s="80" t="s">
        <v>4</v>
      </c>
      <c r="D66" s="80" t="s">
        <v>462</v>
      </c>
      <c r="E66" s="80" t="s">
        <v>320</v>
      </c>
      <c r="F66" s="85">
        <v>1400</v>
      </c>
    </row>
    <row r="67" spans="2:8" x14ac:dyDescent="0.25">
      <c r="B67" s="80" t="s">
        <v>508</v>
      </c>
      <c r="C67" s="80" t="s">
        <v>1</v>
      </c>
      <c r="D67" s="80" t="s">
        <v>463</v>
      </c>
      <c r="E67" s="80" t="s">
        <v>320</v>
      </c>
      <c r="F67" s="85">
        <v>1400</v>
      </c>
    </row>
    <row r="68" spans="2:8" x14ac:dyDescent="0.25">
      <c r="B68" s="80" t="s">
        <v>508</v>
      </c>
      <c r="C68" s="80" t="s">
        <v>1</v>
      </c>
      <c r="D68" s="80" t="s">
        <v>535</v>
      </c>
      <c r="E68" s="80" t="s">
        <v>320</v>
      </c>
      <c r="F68" s="85">
        <v>1400</v>
      </c>
      <c r="G68">
        <v>6</v>
      </c>
      <c r="H68" s="57">
        <f>+G68*F68</f>
        <v>8400</v>
      </c>
    </row>
    <row r="69" spans="2:8" x14ac:dyDescent="0.25">
      <c r="B69" s="80" t="s">
        <v>508</v>
      </c>
      <c r="C69" s="80" t="s">
        <v>1</v>
      </c>
      <c r="D69" s="80" t="s">
        <v>466</v>
      </c>
      <c r="E69" s="80" t="s">
        <v>320</v>
      </c>
      <c r="F69" s="85">
        <v>1400</v>
      </c>
    </row>
    <row r="70" spans="2:8" x14ac:dyDescent="0.25">
      <c r="B70" s="80" t="s">
        <v>508</v>
      </c>
      <c r="C70" s="80" t="s">
        <v>1</v>
      </c>
      <c r="D70" s="80" t="s">
        <v>536</v>
      </c>
      <c r="E70" s="80" t="s">
        <v>320</v>
      </c>
      <c r="F70" s="85">
        <v>1400</v>
      </c>
    </row>
    <row r="71" spans="2:8" x14ac:dyDescent="0.25">
      <c r="B71" s="80" t="s">
        <v>508</v>
      </c>
      <c r="C71" s="80" t="s">
        <v>1</v>
      </c>
      <c r="D71" s="80" t="s">
        <v>537</v>
      </c>
      <c r="E71" s="80" t="s">
        <v>320</v>
      </c>
      <c r="F71" s="85">
        <v>1500</v>
      </c>
    </row>
    <row r="72" spans="2:8" x14ac:dyDescent="0.25">
      <c r="B72" s="80" t="s">
        <v>508</v>
      </c>
      <c r="C72" s="80" t="s">
        <v>1</v>
      </c>
      <c r="D72" s="80" t="s">
        <v>538</v>
      </c>
      <c r="E72" s="80" t="s">
        <v>320</v>
      </c>
      <c r="F72" s="85">
        <v>1200</v>
      </c>
    </row>
    <row r="73" spans="2:8" x14ac:dyDescent="0.25">
      <c r="B73" s="80" t="s">
        <v>508</v>
      </c>
      <c r="C73" s="80" t="s">
        <v>1</v>
      </c>
      <c r="D73" s="80" t="s">
        <v>551</v>
      </c>
      <c r="E73" s="80" t="s">
        <v>320</v>
      </c>
      <c r="F73" s="85">
        <v>1200</v>
      </c>
    </row>
    <row r="74" spans="2:8" x14ac:dyDescent="0.25">
      <c r="B74" s="80" t="s">
        <v>508</v>
      </c>
      <c r="C74" s="80" t="s">
        <v>1</v>
      </c>
      <c r="D74" s="80" t="s">
        <v>539</v>
      </c>
      <c r="E74" s="80" t="s">
        <v>320</v>
      </c>
      <c r="F74" s="85">
        <v>1200</v>
      </c>
    </row>
    <row r="75" spans="2:8" x14ac:dyDescent="0.25">
      <c r="B75" s="80" t="s">
        <v>508</v>
      </c>
      <c r="C75" s="80" t="s">
        <v>1</v>
      </c>
      <c r="D75" s="80" t="s">
        <v>540</v>
      </c>
      <c r="E75" s="80" t="s">
        <v>320</v>
      </c>
      <c r="F75" s="85">
        <v>1500</v>
      </c>
    </row>
    <row r="76" spans="2:8" x14ac:dyDescent="0.25">
      <c r="B76" s="80" t="s">
        <v>508</v>
      </c>
      <c r="C76" s="80" t="s">
        <v>1</v>
      </c>
      <c r="D76" s="80" t="s">
        <v>541</v>
      </c>
      <c r="E76" s="80" t="s">
        <v>320</v>
      </c>
      <c r="F76" s="85">
        <v>1680</v>
      </c>
    </row>
    <row r="77" spans="2:8" x14ac:dyDescent="0.25">
      <c r="B77" s="80" t="s">
        <v>508</v>
      </c>
      <c r="C77" s="80" t="s">
        <v>1</v>
      </c>
      <c r="D77" s="80" t="s">
        <v>542</v>
      </c>
      <c r="E77" s="80" t="s">
        <v>320</v>
      </c>
      <c r="F77" s="85">
        <v>1680</v>
      </c>
    </row>
    <row r="78" spans="2:8" x14ac:dyDescent="0.25">
      <c r="B78" s="80" t="s">
        <v>508</v>
      </c>
      <c r="C78" s="80" t="s">
        <v>4</v>
      </c>
      <c r="D78" s="80" t="s">
        <v>543</v>
      </c>
      <c r="E78" s="80" t="s">
        <v>320</v>
      </c>
      <c r="F78" s="85">
        <v>1600</v>
      </c>
    </row>
    <row r="79" spans="2:8" x14ac:dyDescent="0.25">
      <c r="B79" s="80" t="s">
        <v>508</v>
      </c>
      <c r="C79" s="80" t="s">
        <v>4</v>
      </c>
      <c r="D79" s="80" t="s">
        <v>544</v>
      </c>
      <c r="E79" s="80" t="s">
        <v>320</v>
      </c>
      <c r="F79" s="85">
        <v>1600</v>
      </c>
    </row>
    <row r="80" spans="2:8" x14ac:dyDescent="0.25">
      <c r="B80" s="80" t="s">
        <v>508</v>
      </c>
      <c r="C80" s="80" t="s">
        <v>4</v>
      </c>
      <c r="D80" s="80" t="s">
        <v>545</v>
      </c>
      <c r="E80" s="80" t="s">
        <v>320</v>
      </c>
      <c r="F80" s="85">
        <v>1600</v>
      </c>
    </row>
    <row r="81" spans="2:11" x14ac:dyDescent="0.25">
      <c r="B81" s="80" t="s">
        <v>508</v>
      </c>
      <c r="C81" s="80" t="s">
        <v>1</v>
      </c>
      <c r="D81" s="80" t="s">
        <v>546</v>
      </c>
      <c r="E81" s="80" t="s">
        <v>320</v>
      </c>
      <c r="F81" s="85">
        <v>1200</v>
      </c>
    </row>
    <row r="82" spans="2:11" x14ac:dyDescent="0.25">
      <c r="B82" s="84" t="s">
        <v>508</v>
      </c>
      <c r="C82" s="84" t="s">
        <v>1</v>
      </c>
      <c r="D82" s="84" t="s">
        <v>580</v>
      </c>
      <c r="E82" s="80" t="s">
        <v>320</v>
      </c>
      <c r="F82" s="85">
        <v>600</v>
      </c>
    </row>
    <row r="83" spans="2:11" x14ac:dyDescent="0.25">
      <c r="B83" s="84" t="s">
        <v>508</v>
      </c>
      <c r="C83" s="84" t="s">
        <v>4</v>
      </c>
      <c r="D83" s="84" t="s">
        <v>580</v>
      </c>
      <c r="E83" s="80" t="s">
        <v>320</v>
      </c>
      <c r="F83" s="85">
        <v>600</v>
      </c>
    </row>
    <row r="85" spans="2:11" x14ac:dyDescent="0.25">
      <c r="B85" s="84" t="s">
        <v>49</v>
      </c>
      <c r="C85" s="84" t="s">
        <v>4</v>
      </c>
      <c r="D85" s="84" t="s">
        <v>603</v>
      </c>
      <c r="E85" s="84" t="s">
        <v>488</v>
      </c>
      <c r="F85" s="13">
        <f>+I85*24</f>
        <v>9840</v>
      </c>
      <c r="I85" s="12">
        <v>410</v>
      </c>
    </row>
    <row r="86" spans="2:11" x14ac:dyDescent="0.25">
      <c r="B86" s="84" t="s">
        <v>49</v>
      </c>
      <c r="C86" s="84" t="s">
        <v>1</v>
      </c>
      <c r="D86" s="84" t="s">
        <v>604</v>
      </c>
      <c r="E86" s="84" t="s">
        <v>488</v>
      </c>
      <c r="F86" s="13">
        <f>+I86*24</f>
        <v>10320</v>
      </c>
      <c r="I86" s="12">
        <v>430</v>
      </c>
      <c r="K86">
        <f>+I86*12</f>
        <v>5160</v>
      </c>
    </row>
    <row r="87" spans="2:11" x14ac:dyDescent="0.25">
      <c r="B87" s="84" t="s">
        <v>49</v>
      </c>
      <c r="C87" s="84" t="s">
        <v>4</v>
      </c>
      <c r="D87" s="84" t="s">
        <v>751</v>
      </c>
      <c r="E87" s="84" t="s">
        <v>488</v>
      </c>
      <c r="F87" s="13">
        <f>+I87*24</f>
        <v>25200</v>
      </c>
      <c r="H87">
        <f>+F87/24</f>
        <v>1050</v>
      </c>
      <c r="I87" s="12">
        <v>1050</v>
      </c>
    </row>
    <row r="88" spans="2:11" x14ac:dyDescent="0.25">
      <c r="B88" s="84" t="s">
        <v>49</v>
      </c>
      <c r="C88" s="84" t="s">
        <v>1</v>
      </c>
      <c r="D88" s="84" t="s">
        <v>752</v>
      </c>
      <c r="E88" s="84" t="s">
        <v>488</v>
      </c>
      <c r="F88" s="13">
        <f>+I88*24</f>
        <v>25200</v>
      </c>
      <c r="I88" s="12">
        <v>1050</v>
      </c>
    </row>
    <row r="91" spans="2:11" x14ac:dyDescent="0.25">
      <c r="B91" s="45"/>
      <c r="C91" s="2" t="s">
        <v>4</v>
      </c>
      <c r="D91" s="84" t="s">
        <v>669</v>
      </c>
      <c r="E91" s="13">
        <v>1800</v>
      </c>
      <c r="F91" s="13">
        <v>2000</v>
      </c>
    </row>
    <row r="92" spans="2:11" x14ac:dyDescent="0.25">
      <c r="B92" s="45"/>
      <c r="C92" s="2" t="s">
        <v>1</v>
      </c>
      <c r="D92" s="84" t="s">
        <v>670</v>
      </c>
      <c r="E92" s="13">
        <v>11500</v>
      </c>
      <c r="F92" s="13">
        <v>13000</v>
      </c>
    </row>
    <row r="94" spans="2:11" x14ac:dyDescent="0.25">
      <c r="C94" s="2" t="s">
        <v>1</v>
      </c>
      <c r="D94" s="2" t="s">
        <v>671</v>
      </c>
      <c r="E94" s="2" t="s">
        <v>488</v>
      </c>
      <c r="F94" s="143">
        <v>6500</v>
      </c>
    </row>
    <row r="96" spans="2:11" x14ac:dyDescent="0.25">
      <c r="C96" s="2" t="s">
        <v>4</v>
      </c>
      <c r="D96" s="2" t="s">
        <v>703</v>
      </c>
      <c r="E96" s="2" t="s">
        <v>320</v>
      </c>
      <c r="F96" s="13">
        <v>850</v>
      </c>
    </row>
  </sheetData>
  <pageMargins left="1" right="1" top="1" bottom="1" header="0.5" footer="0.5"/>
  <pageSetup scale="51" fitToHeight="0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86"/>
  <sheetViews>
    <sheetView zoomScaleNormal="100" workbookViewId="0">
      <selection activeCell="I21" sqref="I21"/>
    </sheetView>
  </sheetViews>
  <sheetFormatPr baseColWidth="10" defaultRowHeight="15" x14ac:dyDescent="0.25"/>
  <cols>
    <col min="1" max="1" width="5.5703125" customWidth="1"/>
    <col min="2" max="2" width="13.28515625" bestFit="1" customWidth="1"/>
    <col min="3" max="3" width="12.5703125" bestFit="1" customWidth="1"/>
    <col min="4" max="4" width="37" bestFit="1" customWidth="1"/>
    <col min="5" max="5" width="12.85546875" bestFit="1" customWidth="1"/>
    <col min="6" max="6" width="13.42578125" bestFit="1" customWidth="1"/>
    <col min="7" max="7" width="4.7109375" customWidth="1"/>
    <col min="8" max="8" width="5" customWidth="1"/>
    <col min="9" max="9" width="22" bestFit="1" customWidth="1"/>
    <col min="10" max="10" width="27" bestFit="1" customWidth="1"/>
  </cols>
  <sheetData>
    <row r="2" spans="2:12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  <c r="G2" s="19"/>
      <c r="H2" s="19"/>
      <c r="I2" s="20" t="s">
        <v>250</v>
      </c>
      <c r="J2" s="19" t="s">
        <v>251</v>
      </c>
    </row>
    <row r="3" spans="2:12" x14ac:dyDescent="0.25">
      <c r="B3" s="221" t="s">
        <v>397</v>
      </c>
      <c r="C3" s="219" t="s">
        <v>4</v>
      </c>
      <c r="D3" s="2" t="s">
        <v>391</v>
      </c>
      <c r="E3" s="2" t="s">
        <v>364</v>
      </c>
      <c r="F3" s="13">
        <v>32700</v>
      </c>
      <c r="G3" s="13"/>
      <c r="H3" s="13"/>
      <c r="I3" s="13"/>
      <c r="J3" s="13"/>
      <c r="L3">
        <f>7600+17000</f>
        <v>24600</v>
      </c>
    </row>
    <row r="4" spans="2:12" x14ac:dyDescent="0.25">
      <c r="B4" s="221"/>
      <c r="C4" s="219"/>
      <c r="D4" s="2" t="s">
        <v>392</v>
      </c>
      <c r="E4" s="2" t="s">
        <v>364</v>
      </c>
      <c r="F4" s="13">
        <v>32700</v>
      </c>
      <c r="G4" s="13"/>
      <c r="H4" s="13"/>
      <c r="I4" s="13"/>
      <c r="J4" s="13"/>
    </row>
    <row r="5" spans="2:12" x14ac:dyDescent="0.25">
      <c r="B5" s="221"/>
      <c r="C5" s="219"/>
      <c r="D5" s="2" t="s">
        <v>393</v>
      </c>
      <c r="E5" s="2" t="s">
        <v>364</v>
      </c>
      <c r="F5" s="13">
        <v>32700</v>
      </c>
      <c r="G5" s="13"/>
      <c r="H5" s="13"/>
      <c r="I5" s="13"/>
      <c r="J5" s="13"/>
    </row>
    <row r="6" spans="2:12" x14ac:dyDescent="0.25">
      <c r="B6" s="221"/>
      <c r="C6" s="219"/>
      <c r="D6" s="2" t="s">
        <v>394</v>
      </c>
      <c r="E6" s="2" t="s">
        <v>364</v>
      </c>
      <c r="F6" s="13">
        <v>32700</v>
      </c>
      <c r="G6" s="13"/>
      <c r="H6" s="13"/>
      <c r="I6" s="13"/>
      <c r="J6" s="13"/>
    </row>
    <row r="7" spans="2:12" x14ac:dyDescent="0.25">
      <c r="B7" s="221"/>
      <c r="C7" s="219"/>
      <c r="D7" s="2" t="s">
        <v>395</v>
      </c>
      <c r="E7" s="2" t="s">
        <v>364</v>
      </c>
      <c r="F7" s="13">
        <v>32700</v>
      </c>
      <c r="G7" s="13"/>
      <c r="H7" s="13"/>
      <c r="I7" s="13"/>
      <c r="J7" s="13"/>
    </row>
    <row r="8" spans="2:12" x14ac:dyDescent="0.25">
      <c r="B8" s="221"/>
      <c r="C8" s="219" t="s">
        <v>1</v>
      </c>
      <c r="D8" s="2" t="s">
        <v>396</v>
      </c>
      <c r="E8" s="2" t="s">
        <v>364</v>
      </c>
      <c r="F8" s="13">
        <v>32700</v>
      </c>
      <c r="G8" s="13"/>
      <c r="H8" s="13"/>
      <c r="I8" s="13"/>
      <c r="J8" s="13"/>
    </row>
    <row r="9" spans="2:12" x14ac:dyDescent="0.25">
      <c r="B9" s="221"/>
      <c r="C9" s="219"/>
      <c r="D9" s="2" t="s">
        <v>396</v>
      </c>
      <c r="E9" s="2" t="s">
        <v>371</v>
      </c>
      <c r="F9" s="13">
        <v>22000</v>
      </c>
      <c r="G9" s="13"/>
      <c r="H9" s="13"/>
      <c r="I9" s="13"/>
      <c r="J9" s="13"/>
    </row>
    <row r="10" spans="2:12" x14ac:dyDescent="0.25">
      <c r="F10" s="12"/>
      <c r="G10" s="12"/>
      <c r="H10" s="12"/>
      <c r="I10" s="12"/>
      <c r="J10" s="12"/>
    </row>
    <row r="11" spans="2:12" ht="15" customHeight="1" x14ac:dyDescent="0.25">
      <c r="B11" s="194" t="s">
        <v>398</v>
      </c>
      <c r="C11" s="219" t="s">
        <v>4</v>
      </c>
      <c r="D11" s="2" t="s">
        <v>399</v>
      </c>
      <c r="E11" s="2" t="s">
        <v>41</v>
      </c>
      <c r="F11" s="13">
        <v>45000</v>
      </c>
      <c r="G11" s="13"/>
      <c r="H11" s="13"/>
      <c r="I11" s="59"/>
      <c r="J11" s="13"/>
    </row>
    <row r="12" spans="2:12" ht="15" customHeight="1" x14ac:dyDescent="0.25">
      <c r="B12" s="195"/>
      <c r="C12" s="219"/>
      <c r="D12" s="2" t="s">
        <v>400</v>
      </c>
      <c r="E12" s="2" t="s">
        <v>41</v>
      </c>
      <c r="F12" s="13">
        <v>45000</v>
      </c>
      <c r="G12" s="13"/>
      <c r="H12" s="13"/>
      <c r="I12" s="59"/>
      <c r="J12" s="13"/>
    </row>
    <row r="13" spans="2:12" ht="15" customHeight="1" x14ac:dyDescent="0.25">
      <c r="B13" s="195"/>
      <c r="C13" s="219"/>
      <c r="D13" s="2" t="s">
        <v>401</v>
      </c>
      <c r="E13" s="2" t="s">
        <v>41</v>
      </c>
      <c r="F13" s="13">
        <v>45000</v>
      </c>
      <c r="G13" s="13"/>
      <c r="H13" s="13"/>
      <c r="I13" s="59"/>
      <c r="J13" s="13"/>
    </row>
    <row r="14" spans="2:12" ht="15" customHeight="1" x14ac:dyDescent="0.25">
      <c r="B14" s="195"/>
      <c r="C14" s="219"/>
      <c r="D14" s="2" t="s">
        <v>402</v>
      </c>
      <c r="E14" s="2" t="s">
        <v>41</v>
      </c>
      <c r="F14" s="13">
        <v>49500</v>
      </c>
      <c r="G14" s="13"/>
      <c r="H14" s="13"/>
      <c r="I14" s="59"/>
      <c r="J14" s="13"/>
    </row>
    <row r="15" spans="2:12" ht="15" customHeight="1" x14ac:dyDescent="0.25">
      <c r="B15" s="195"/>
      <c r="C15" s="219"/>
      <c r="D15" s="2" t="s">
        <v>403</v>
      </c>
      <c r="E15" s="2" t="s">
        <v>41</v>
      </c>
      <c r="F15" s="13">
        <v>49000</v>
      </c>
      <c r="G15" s="13"/>
      <c r="H15" s="13"/>
      <c r="I15" s="59"/>
      <c r="J15" s="13"/>
    </row>
    <row r="16" spans="2:12" x14ac:dyDescent="0.25">
      <c r="B16" s="196"/>
      <c r="C16" s="219"/>
      <c r="D16" s="10" t="s">
        <v>441</v>
      </c>
      <c r="E16" s="10" t="s">
        <v>440</v>
      </c>
      <c r="F16" s="13">
        <v>48000</v>
      </c>
      <c r="G16" s="13"/>
      <c r="H16" s="13"/>
      <c r="I16" s="12"/>
      <c r="J16" s="12"/>
    </row>
    <row r="17" spans="2:10" x14ac:dyDescent="0.25">
      <c r="F17" s="12"/>
      <c r="G17" s="12"/>
      <c r="H17" s="12"/>
      <c r="I17" s="12"/>
      <c r="J17" s="12"/>
    </row>
    <row r="18" spans="2:10" x14ac:dyDescent="0.25">
      <c r="B18" s="194" t="s">
        <v>437</v>
      </c>
      <c r="C18" s="214" t="s">
        <v>438</v>
      </c>
      <c r="D18" s="2" t="s">
        <v>439</v>
      </c>
      <c r="E18" s="2" t="s">
        <v>3</v>
      </c>
      <c r="F18" s="13">
        <v>23300</v>
      </c>
      <c r="G18" s="13"/>
      <c r="H18" s="13"/>
      <c r="I18" s="12"/>
      <c r="J18" s="12"/>
    </row>
    <row r="19" spans="2:10" x14ac:dyDescent="0.25">
      <c r="B19" s="196"/>
      <c r="C19" s="216"/>
      <c r="D19" s="2" t="s">
        <v>439</v>
      </c>
      <c r="E19" s="2" t="s">
        <v>88</v>
      </c>
      <c r="F19" s="13">
        <v>3900</v>
      </c>
      <c r="G19" s="13"/>
      <c r="H19" s="13"/>
      <c r="I19" s="12"/>
      <c r="J19" s="12"/>
    </row>
    <row r="20" spans="2:10" x14ac:dyDescent="0.25">
      <c r="F20" s="12"/>
      <c r="G20" s="12"/>
      <c r="H20" s="12"/>
      <c r="I20" s="12"/>
      <c r="J20" s="12"/>
    </row>
    <row r="21" spans="2:10" x14ac:dyDescent="0.25">
      <c r="B21" s="220" t="s">
        <v>398</v>
      </c>
      <c r="C21" s="219" t="s">
        <v>1</v>
      </c>
      <c r="D21" s="2" t="s">
        <v>491</v>
      </c>
      <c r="E21" s="2" t="s">
        <v>191</v>
      </c>
      <c r="F21" s="13">
        <v>32500</v>
      </c>
      <c r="G21" s="13"/>
      <c r="H21" s="12"/>
      <c r="I21" s="12"/>
      <c r="J21" s="12"/>
    </row>
    <row r="22" spans="2:10" x14ac:dyDescent="0.25">
      <c r="B22" s="220"/>
      <c r="C22" s="219"/>
      <c r="D22" s="2" t="s">
        <v>491</v>
      </c>
      <c r="E22" s="2" t="s">
        <v>84</v>
      </c>
      <c r="F22" s="13">
        <v>9800</v>
      </c>
      <c r="G22" s="13"/>
      <c r="H22" s="12"/>
      <c r="I22" s="12"/>
      <c r="J22" s="12"/>
    </row>
    <row r="23" spans="2:10" x14ac:dyDescent="0.25">
      <c r="B23" s="220"/>
      <c r="C23" s="219"/>
      <c r="D23" s="2" t="s">
        <v>492</v>
      </c>
      <c r="E23" s="2" t="s">
        <v>191</v>
      </c>
      <c r="F23" s="13">
        <v>32500</v>
      </c>
      <c r="G23" s="13"/>
      <c r="H23" s="12"/>
      <c r="I23" s="12"/>
      <c r="J23" s="12"/>
    </row>
    <row r="24" spans="2:10" x14ac:dyDescent="0.25">
      <c r="B24" s="220"/>
      <c r="C24" s="219"/>
      <c r="D24" s="2" t="s">
        <v>492</v>
      </c>
      <c r="E24" s="2" t="s">
        <v>84</v>
      </c>
      <c r="F24" s="13">
        <v>9800</v>
      </c>
      <c r="G24" s="13"/>
      <c r="H24" s="12"/>
      <c r="I24" s="12"/>
      <c r="J24" s="12"/>
    </row>
    <row r="25" spans="2:10" x14ac:dyDescent="0.25">
      <c r="F25" s="12"/>
      <c r="G25" s="12"/>
      <c r="H25" s="12"/>
      <c r="I25" s="12"/>
      <c r="J25" s="12"/>
    </row>
    <row r="26" spans="2:10" ht="15" customHeight="1" x14ac:dyDescent="0.25">
      <c r="B26" s="221" t="s">
        <v>398</v>
      </c>
      <c r="C26" s="219" t="s">
        <v>4</v>
      </c>
      <c r="D26" s="2" t="s">
        <v>493</v>
      </c>
      <c r="E26" s="2" t="s">
        <v>189</v>
      </c>
      <c r="F26" s="13">
        <v>19500</v>
      </c>
      <c r="G26" s="13"/>
      <c r="H26" s="12"/>
      <c r="I26" s="12"/>
      <c r="J26" s="12"/>
    </row>
    <row r="27" spans="2:10" ht="15" customHeight="1" x14ac:dyDescent="0.25">
      <c r="B27" s="221"/>
      <c r="C27" s="219"/>
      <c r="D27" s="2" t="s">
        <v>494</v>
      </c>
      <c r="E27" s="2" t="s">
        <v>189</v>
      </c>
      <c r="F27" s="13">
        <v>19500</v>
      </c>
      <c r="G27" s="13"/>
      <c r="H27" s="12"/>
      <c r="I27" s="12"/>
      <c r="J27" s="12"/>
    </row>
    <row r="28" spans="2:10" ht="15" customHeight="1" x14ac:dyDescent="0.25">
      <c r="B28" s="221"/>
      <c r="C28" s="219"/>
      <c r="D28" s="2" t="s">
        <v>495</v>
      </c>
      <c r="E28" s="2" t="s">
        <v>189</v>
      </c>
      <c r="F28" s="13">
        <v>19500</v>
      </c>
      <c r="G28" s="13"/>
      <c r="H28" s="12"/>
      <c r="I28" s="12"/>
      <c r="J28" s="12"/>
    </row>
    <row r="29" spans="2:10" ht="15" customHeight="1" x14ac:dyDescent="0.25">
      <c r="F29" s="12"/>
      <c r="G29" s="12"/>
      <c r="H29" s="12"/>
      <c r="I29" s="12"/>
      <c r="J29" s="12"/>
    </row>
    <row r="30" spans="2:10" ht="15" customHeight="1" x14ac:dyDescent="0.25">
      <c r="F30" s="12"/>
      <c r="G30" s="12"/>
      <c r="H30" s="12"/>
      <c r="I30" s="12"/>
      <c r="J30" s="12"/>
    </row>
    <row r="31" spans="2:10" ht="15" customHeight="1" x14ac:dyDescent="0.25">
      <c r="F31" s="12"/>
      <c r="G31" s="12"/>
      <c r="H31" s="12"/>
      <c r="I31" s="12"/>
      <c r="J31" s="12"/>
    </row>
    <row r="32" spans="2:10" x14ac:dyDescent="0.25">
      <c r="F32" s="12"/>
      <c r="G32" s="12"/>
      <c r="H32" s="12"/>
      <c r="I32" s="12"/>
      <c r="J32" s="12"/>
    </row>
    <row r="33" spans="6:10" x14ac:dyDescent="0.25">
      <c r="F33" s="12"/>
      <c r="G33" s="12"/>
      <c r="H33" s="12"/>
      <c r="I33" s="12"/>
      <c r="J33" s="12"/>
    </row>
    <row r="34" spans="6:10" x14ac:dyDescent="0.25">
      <c r="F34" s="12"/>
      <c r="G34" s="12"/>
      <c r="H34" s="12"/>
      <c r="I34" s="12"/>
      <c r="J34" s="12"/>
    </row>
    <row r="35" spans="6:10" x14ac:dyDescent="0.25">
      <c r="F35" s="12"/>
      <c r="G35" s="12"/>
      <c r="H35" s="12"/>
      <c r="I35" s="12"/>
      <c r="J35" s="12"/>
    </row>
    <row r="36" spans="6:10" x14ac:dyDescent="0.25">
      <c r="F36" s="12"/>
      <c r="G36" s="12"/>
      <c r="H36" s="12"/>
      <c r="I36" s="12"/>
      <c r="J36" s="12"/>
    </row>
    <row r="37" spans="6:10" x14ac:dyDescent="0.25">
      <c r="F37" s="12"/>
      <c r="G37" s="12"/>
      <c r="H37" s="12"/>
      <c r="I37" s="12"/>
      <c r="J37" s="12"/>
    </row>
    <row r="38" spans="6:10" x14ac:dyDescent="0.25">
      <c r="F38" s="12"/>
      <c r="G38" s="12"/>
      <c r="H38" s="12"/>
      <c r="I38" s="12"/>
      <c r="J38" s="12"/>
    </row>
    <row r="39" spans="6:10" x14ac:dyDescent="0.25">
      <c r="F39" s="12"/>
      <c r="G39" s="12"/>
      <c r="H39" s="12"/>
      <c r="I39" s="12"/>
      <c r="J39" s="12"/>
    </row>
    <row r="40" spans="6:10" x14ac:dyDescent="0.25">
      <c r="F40" s="12"/>
      <c r="G40" s="12"/>
      <c r="H40" s="12"/>
      <c r="I40" s="12"/>
      <c r="J40" s="12"/>
    </row>
    <row r="41" spans="6:10" x14ac:dyDescent="0.25">
      <c r="F41" s="12"/>
      <c r="G41" s="12"/>
      <c r="H41" s="12"/>
      <c r="I41" s="12"/>
      <c r="J41" s="12"/>
    </row>
    <row r="42" spans="6:10" x14ac:dyDescent="0.25">
      <c r="F42" s="12"/>
      <c r="G42" s="12"/>
      <c r="H42" s="12"/>
      <c r="I42" s="12"/>
      <c r="J42" s="12"/>
    </row>
    <row r="43" spans="6:10" x14ac:dyDescent="0.25">
      <c r="F43" s="12"/>
      <c r="G43" s="12"/>
      <c r="H43" s="12"/>
      <c r="I43" s="12"/>
      <c r="J43" s="12"/>
    </row>
    <row r="44" spans="6:10" x14ac:dyDescent="0.25">
      <c r="F44" s="12"/>
      <c r="G44" s="12"/>
      <c r="H44" s="12"/>
      <c r="I44" s="12"/>
      <c r="J44" s="12"/>
    </row>
    <row r="45" spans="6:10" x14ac:dyDescent="0.25">
      <c r="F45" s="12"/>
      <c r="G45" s="12"/>
      <c r="H45" s="12"/>
      <c r="I45" s="12"/>
      <c r="J45" s="12"/>
    </row>
    <row r="46" spans="6:10" x14ac:dyDescent="0.25">
      <c r="F46" s="12"/>
      <c r="G46" s="12"/>
      <c r="H46" s="12"/>
      <c r="I46" s="12"/>
      <c r="J46" s="12"/>
    </row>
    <row r="47" spans="6:10" x14ac:dyDescent="0.25">
      <c r="F47" s="12"/>
      <c r="G47" s="12"/>
      <c r="H47" s="12"/>
      <c r="I47" s="12"/>
      <c r="J47" s="12"/>
    </row>
    <row r="48" spans="6:10" x14ac:dyDescent="0.25">
      <c r="F48" s="12"/>
      <c r="G48" s="12"/>
      <c r="H48" s="12"/>
      <c r="I48" s="12"/>
      <c r="J48" s="12"/>
    </row>
    <row r="49" spans="6:10" x14ac:dyDescent="0.25">
      <c r="F49" s="12"/>
      <c r="G49" s="12"/>
      <c r="H49" s="12"/>
      <c r="I49" s="12"/>
      <c r="J49" s="12"/>
    </row>
    <row r="50" spans="6:10" x14ac:dyDescent="0.25">
      <c r="F50" s="12"/>
      <c r="G50" s="12"/>
      <c r="H50" s="12"/>
      <c r="I50" s="12"/>
      <c r="J50" s="12"/>
    </row>
    <row r="51" spans="6:10" x14ac:dyDescent="0.25">
      <c r="F51" s="12"/>
      <c r="G51" s="12"/>
      <c r="H51" s="12"/>
      <c r="I51" s="12"/>
      <c r="J51" s="12"/>
    </row>
    <row r="52" spans="6:10" x14ac:dyDescent="0.25">
      <c r="F52" s="12"/>
      <c r="G52" s="12"/>
      <c r="H52" s="12"/>
      <c r="I52" s="12"/>
      <c r="J52" s="12"/>
    </row>
    <row r="53" spans="6:10" x14ac:dyDescent="0.25">
      <c r="F53" s="12"/>
      <c r="G53" s="12"/>
      <c r="H53" s="12"/>
      <c r="I53" s="12"/>
      <c r="J53" s="12"/>
    </row>
    <row r="54" spans="6:10" x14ac:dyDescent="0.25">
      <c r="F54" s="12"/>
      <c r="G54" s="12"/>
      <c r="H54" s="12"/>
      <c r="I54" s="12"/>
      <c r="J54" s="12"/>
    </row>
    <row r="55" spans="6:10" x14ac:dyDescent="0.25">
      <c r="F55" s="12"/>
      <c r="G55" s="12"/>
      <c r="H55" s="12"/>
      <c r="I55" s="12"/>
      <c r="J55" s="12"/>
    </row>
    <row r="56" spans="6:10" x14ac:dyDescent="0.25">
      <c r="F56" s="12"/>
      <c r="G56" s="12"/>
      <c r="H56" s="12"/>
      <c r="I56" s="12"/>
      <c r="J56" s="12"/>
    </row>
    <row r="57" spans="6:10" x14ac:dyDescent="0.25">
      <c r="F57" s="12"/>
      <c r="G57" s="12"/>
      <c r="H57" s="12"/>
      <c r="I57" s="12"/>
      <c r="J57" s="12"/>
    </row>
    <row r="58" spans="6:10" x14ac:dyDescent="0.25">
      <c r="F58" s="12"/>
      <c r="G58" s="12"/>
      <c r="H58" s="12"/>
      <c r="I58" s="12"/>
      <c r="J58" s="12"/>
    </row>
    <row r="59" spans="6:10" x14ac:dyDescent="0.25">
      <c r="F59" s="12"/>
      <c r="G59" s="12"/>
      <c r="H59" s="12"/>
      <c r="I59" s="12"/>
      <c r="J59" s="12"/>
    </row>
    <row r="60" spans="6:10" x14ac:dyDescent="0.25">
      <c r="F60" s="12"/>
      <c r="G60" s="12"/>
      <c r="H60" s="12"/>
      <c r="I60" s="12"/>
      <c r="J60" s="12"/>
    </row>
    <row r="61" spans="6:10" x14ac:dyDescent="0.25">
      <c r="F61" s="12"/>
      <c r="G61" s="12"/>
      <c r="H61" s="12"/>
      <c r="I61" s="12"/>
      <c r="J61" s="12"/>
    </row>
    <row r="62" spans="6:10" x14ac:dyDescent="0.25">
      <c r="F62" s="12"/>
      <c r="G62" s="12"/>
      <c r="H62" s="12"/>
      <c r="I62" s="12"/>
      <c r="J62" s="12"/>
    </row>
    <row r="63" spans="6:10" x14ac:dyDescent="0.25">
      <c r="F63" s="12"/>
      <c r="G63" s="12"/>
      <c r="H63" s="12"/>
      <c r="I63" s="12"/>
      <c r="J63" s="12"/>
    </row>
    <row r="64" spans="6:10" x14ac:dyDescent="0.25">
      <c r="F64" s="12"/>
      <c r="G64" s="12"/>
      <c r="H64" s="12"/>
      <c r="I64" s="12"/>
      <c r="J64" s="12"/>
    </row>
    <row r="65" spans="6:10" x14ac:dyDescent="0.25">
      <c r="F65" s="12"/>
      <c r="G65" s="12"/>
      <c r="H65" s="12"/>
      <c r="I65" s="12"/>
      <c r="J65" s="12"/>
    </row>
    <row r="66" spans="6:10" x14ac:dyDescent="0.25">
      <c r="F66" s="12"/>
      <c r="G66" s="12"/>
      <c r="H66" s="12"/>
      <c r="I66" s="12"/>
      <c r="J66" s="12"/>
    </row>
    <row r="67" spans="6:10" x14ac:dyDescent="0.25">
      <c r="F67" s="12"/>
      <c r="G67" s="12"/>
      <c r="H67" s="12"/>
      <c r="I67" s="12"/>
      <c r="J67" s="12"/>
    </row>
    <row r="68" spans="6:10" x14ac:dyDescent="0.25">
      <c r="F68" s="12"/>
      <c r="G68" s="12"/>
      <c r="H68" s="12"/>
      <c r="I68" s="12"/>
      <c r="J68" s="12"/>
    </row>
    <row r="69" spans="6:10" x14ac:dyDescent="0.25">
      <c r="F69" s="12"/>
      <c r="G69" s="12"/>
      <c r="H69" s="12"/>
      <c r="I69" s="12"/>
      <c r="J69" s="12"/>
    </row>
    <row r="70" spans="6:10" x14ac:dyDescent="0.25">
      <c r="F70" s="12"/>
      <c r="G70" s="12"/>
      <c r="H70" s="12"/>
      <c r="I70" s="12"/>
      <c r="J70" s="12"/>
    </row>
    <row r="71" spans="6:10" x14ac:dyDescent="0.25">
      <c r="F71" s="12"/>
      <c r="G71" s="12"/>
      <c r="H71" s="12"/>
      <c r="I71" s="12"/>
      <c r="J71" s="12"/>
    </row>
    <row r="72" spans="6:10" x14ac:dyDescent="0.25">
      <c r="F72" s="12"/>
      <c r="G72" s="12"/>
      <c r="H72" s="12"/>
      <c r="I72" s="12"/>
      <c r="J72" s="12"/>
    </row>
    <row r="73" spans="6:10" x14ac:dyDescent="0.25">
      <c r="F73" s="12"/>
      <c r="G73" s="12"/>
      <c r="H73" s="12"/>
      <c r="I73" s="12"/>
      <c r="J73" s="12"/>
    </row>
    <row r="74" spans="6:10" x14ac:dyDescent="0.25">
      <c r="F74" s="12"/>
      <c r="G74" s="12"/>
      <c r="H74" s="12"/>
      <c r="I74" s="12"/>
      <c r="J74" s="12"/>
    </row>
    <row r="75" spans="6:10" x14ac:dyDescent="0.25">
      <c r="F75" s="12"/>
      <c r="G75" s="12"/>
      <c r="H75" s="12"/>
      <c r="I75" s="12"/>
      <c r="J75" s="12"/>
    </row>
    <row r="76" spans="6:10" x14ac:dyDescent="0.25">
      <c r="F76" s="12"/>
      <c r="G76" s="12"/>
      <c r="H76" s="12"/>
      <c r="I76" s="12"/>
      <c r="J76" s="12"/>
    </row>
    <row r="77" spans="6:10" x14ac:dyDescent="0.25">
      <c r="F77" s="12"/>
      <c r="G77" s="12"/>
      <c r="H77" s="12"/>
      <c r="I77" s="12"/>
      <c r="J77" s="12"/>
    </row>
    <row r="78" spans="6:10" x14ac:dyDescent="0.25">
      <c r="F78" s="12"/>
      <c r="G78" s="12"/>
      <c r="H78" s="12"/>
      <c r="I78" s="12"/>
      <c r="J78" s="12"/>
    </row>
    <row r="79" spans="6:10" x14ac:dyDescent="0.25">
      <c r="F79" s="12"/>
      <c r="G79" s="12"/>
      <c r="H79" s="12"/>
      <c r="I79" s="12"/>
      <c r="J79" s="12"/>
    </row>
    <row r="80" spans="6:10" x14ac:dyDescent="0.25">
      <c r="F80" s="12"/>
      <c r="G80" s="12"/>
      <c r="H80" s="12"/>
      <c r="I80" s="12"/>
      <c r="J80" s="12"/>
    </row>
    <row r="81" spans="6:10" x14ac:dyDescent="0.25">
      <c r="F81" s="12"/>
      <c r="G81" s="12"/>
      <c r="H81" s="12"/>
      <c r="I81" s="12"/>
      <c r="J81" s="12"/>
    </row>
    <row r="82" spans="6:10" x14ac:dyDescent="0.25">
      <c r="F82" s="12"/>
      <c r="G82" s="12"/>
      <c r="H82" s="12"/>
      <c r="I82" s="12"/>
      <c r="J82" s="12"/>
    </row>
    <row r="83" spans="6:10" x14ac:dyDescent="0.25">
      <c r="F83" s="12"/>
      <c r="G83" s="12"/>
      <c r="H83" s="12"/>
      <c r="I83" s="12"/>
      <c r="J83" s="12"/>
    </row>
    <row r="84" spans="6:10" x14ac:dyDescent="0.25">
      <c r="F84" s="12"/>
      <c r="G84" s="12"/>
      <c r="H84" s="12"/>
      <c r="I84" s="12"/>
      <c r="J84" s="12"/>
    </row>
    <row r="85" spans="6:10" x14ac:dyDescent="0.25">
      <c r="F85" s="12"/>
      <c r="G85" s="12"/>
      <c r="H85" s="12"/>
      <c r="I85" s="12"/>
      <c r="J85" s="12"/>
    </row>
    <row r="86" spans="6:10" x14ac:dyDescent="0.25">
      <c r="F86" s="12"/>
      <c r="G86" s="12"/>
      <c r="H86" s="12"/>
      <c r="I86" s="12"/>
      <c r="J86" s="12"/>
    </row>
  </sheetData>
  <mergeCells count="11">
    <mergeCell ref="B3:B9"/>
    <mergeCell ref="C3:C7"/>
    <mergeCell ref="C8:C9"/>
    <mergeCell ref="B11:B16"/>
    <mergeCell ref="C11:C16"/>
    <mergeCell ref="C21:C24"/>
    <mergeCell ref="B21:B24"/>
    <mergeCell ref="B26:B28"/>
    <mergeCell ref="C26:C28"/>
    <mergeCell ref="B18:B19"/>
    <mergeCell ref="C18:C19"/>
  </mergeCells>
  <pageMargins left="1" right="1" top="1" bottom="1" header="0.5" footer="0.5"/>
  <pageSetup paperSize="9" scale="81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workbookViewId="0">
      <selection activeCell="B13" sqref="B13"/>
    </sheetView>
  </sheetViews>
  <sheetFormatPr baseColWidth="10" defaultRowHeight="15" x14ac:dyDescent="0.25"/>
  <cols>
    <col min="2" max="2" width="74.42578125" bestFit="1" customWidth="1"/>
    <col min="3" max="3" width="13.42578125" bestFit="1" customWidth="1"/>
  </cols>
  <sheetData>
    <row r="2" spans="2:4" ht="18.75" x14ac:dyDescent="0.3">
      <c r="B2" s="139" t="s">
        <v>640</v>
      </c>
      <c r="C2" s="90" t="s">
        <v>632</v>
      </c>
      <c r="D2" s="90" t="s">
        <v>633</v>
      </c>
    </row>
    <row r="3" spans="2:4" x14ac:dyDescent="0.25">
      <c r="B3" s="35" t="s">
        <v>631</v>
      </c>
      <c r="C3" s="138">
        <v>2100</v>
      </c>
      <c r="D3" s="13">
        <v>3000</v>
      </c>
    </row>
    <row r="4" spans="2:4" x14ac:dyDescent="0.25">
      <c r="B4" s="35" t="s">
        <v>634</v>
      </c>
      <c r="C4" s="138">
        <v>1650</v>
      </c>
      <c r="D4" s="13">
        <v>2500</v>
      </c>
    </row>
    <row r="5" spans="2:4" x14ac:dyDescent="0.25">
      <c r="B5" s="35" t="s">
        <v>635</v>
      </c>
      <c r="C5" s="138">
        <v>1650</v>
      </c>
      <c r="D5" s="13">
        <v>2500</v>
      </c>
    </row>
    <row r="6" spans="2:4" x14ac:dyDescent="0.25">
      <c r="B6" s="35" t="s">
        <v>636</v>
      </c>
      <c r="C6" s="138">
        <v>2600</v>
      </c>
      <c r="D6" s="13">
        <v>3500</v>
      </c>
    </row>
    <row r="7" spans="2:4" x14ac:dyDescent="0.25">
      <c r="B7" s="35" t="s">
        <v>637</v>
      </c>
      <c r="C7" s="138">
        <v>2150</v>
      </c>
      <c r="D7" s="13">
        <v>2500</v>
      </c>
    </row>
    <row r="8" spans="2:4" x14ac:dyDescent="0.25">
      <c r="B8" s="35" t="s">
        <v>638</v>
      </c>
      <c r="C8" s="138">
        <v>2650</v>
      </c>
      <c r="D8" s="13">
        <v>3500</v>
      </c>
    </row>
    <row r="9" spans="2:4" x14ac:dyDescent="0.25">
      <c r="B9" s="35" t="s">
        <v>639</v>
      </c>
      <c r="C9" s="138">
        <v>2950</v>
      </c>
      <c r="D9" s="13">
        <v>3700</v>
      </c>
    </row>
    <row r="10" spans="2:4" x14ac:dyDescent="0.25">
      <c r="B10" s="2"/>
      <c r="C10" s="13"/>
      <c r="D10" s="13"/>
    </row>
    <row r="11" spans="2:4" x14ac:dyDescent="0.25">
      <c r="B11" s="2"/>
      <c r="C11" s="13"/>
      <c r="D11" s="13"/>
    </row>
    <row r="12" spans="2:4" x14ac:dyDescent="0.25">
      <c r="B12" s="2"/>
      <c r="C12" s="13"/>
      <c r="D12" s="13"/>
    </row>
    <row r="13" spans="2:4" x14ac:dyDescent="0.25">
      <c r="B13" s="2"/>
      <c r="C13" s="13"/>
      <c r="D13" s="13"/>
    </row>
    <row r="14" spans="2:4" x14ac:dyDescent="0.25">
      <c r="B14" s="2"/>
      <c r="C14" s="13"/>
      <c r="D14" s="13"/>
    </row>
    <row r="15" spans="2:4" x14ac:dyDescent="0.25">
      <c r="B15" s="2"/>
      <c r="C15" s="13"/>
      <c r="D15" s="13"/>
    </row>
    <row r="16" spans="2:4" x14ac:dyDescent="0.25">
      <c r="B16" s="2"/>
      <c r="C16" s="13"/>
      <c r="D16" s="13"/>
    </row>
    <row r="17" spans="2:4" x14ac:dyDescent="0.25">
      <c r="B17" s="2"/>
      <c r="C17" s="13"/>
      <c r="D17" s="13"/>
    </row>
    <row r="18" spans="2:4" x14ac:dyDescent="0.25">
      <c r="B18" s="2"/>
      <c r="C18" s="13"/>
      <c r="D18" s="13"/>
    </row>
    <row r="19" spans="2:4" x14ac:dyDescent="0.25">
      <c r="B19" s="2"/>
      <c r="C19" s="13"/>
      <c r="D19" s="13"/>
    </row>
    <row r="20" spans="2:4" x14ac:dyDescent="0.25">
      <c r="B20" s="2"/>
      <c r="C20" s="13"/>
      <c r="D20" s="13"/>
    </row>
    <row r="21" spans="2:4" x14ac:dyDescent="0.25">
      <c r="B21" s="2"/>
      <c r="C21" s="13"/>
      <c r="D21" s="13"/>
    </row>
    <row r="22" spans="2:4" x14ac:dyDescent="0.25">
      <c r="B22" s="2"/>
      <c r="C22" s="13"/>
      <c r="D22" s="13"/>
    </row>
    <row r="23" spans="2:4" x14ac:dyDescent="0.25">
      <c r="B23" s="2"/>
      <c r="C23" s="13"/>
      <c r="D23" s="13"/>
    </row>
    <row r="24" spans="2:4" x14ac:dyDescent="0.25">
      <c r="B24" s="2"/>
      <c r="C24" s="13"/>
      <c r="D24" s="13"/>
    </row>
    <row r="25" spans="2:4" x14ac:dyDescent="0.25">
      <c r="B25" s="2"/>
      <c r="C25" s="13"/>
      <c r="D25" s="13"/>
    </row>
    <row r="26" spans="2:4" x14ac:dyDescent="0.25">
      <c r="B26" s="2"/>
      <c r="C26" s="13"/>
      <c r="D26" s="13"/>
    </row>
    <row r="27" spans="2:4" x14ac:dyDescent="0.25">
      <c r="B27" s="2"/>
      <c r="C27" s="13"/>
      <c r="D27" s="13"/>
    </row>
    <row r="28" spans="2:4" x14ac:dyDescent="0.25">
      <c r="B28" s="2"/>
      <c r="C28" s="13"/>
      <c r="D28" s="13"/>
    </row>
    <row r="29" spans="2:4" x14ac:dyDescent="0.25">
      <c r="B29" s="2"/>
      <c r="C29" s="13"/>
      <c r="D29" s="13"/>
    </row>
  </sheetData>
  <pageMargins left="0.7" right="0.7" top="0.75" bottom="0.75" header="0.3" footer="0.3"/>
  <pageSetup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5"/>
  <sheetViews>
    <sheetView topLeftCell="A7" workbookViewId="0">
      <selection activeCell="D10" sqref="D10"/>
    </sheetView>
  </sheetViews>
  <sheetFormatPr baseColWidth="10" defaultRowHeight="15" x14ac:dyDescent="0.25"/>
  <cols>
    <col min="2" max="2" width="11.140625" bestFit="1" customWidth="1"/>
    <col min="3" max="3" width="12.5703125" bestFit="1" customWidth="1"/>
    <col min="4" max="4" width="84.7109375" bestFit="1" customWidth="1"/>
    <col min="5" max="5" width="12.85546875" bestFit="1" customWidth="1"/>
    <col min="6" max="6" width="14.140625" hidden="1" customWidth="1"/>
    <col min="7" max="7" width="11.42578125" hidden="1" customWidth="1"/>
    <col min="8" max="8" width="9.42578125" style="12" hidden="1" customWidth="1"/>
    <col min="9" max="9" width="3" hidden="1" customWidth="1"/>
    <col min="10" max="10" width="16.7109375" bestFit="1" customWidth="1"/>
    <col min="11" max="11" width="17.42578125" bestFit="1" customWidth="1"/>
  </cols>
  <sheetData>
    <row r="2" spans="2:11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19" t="s">
        <v>578</v>
      </c>
      <c r="G2" s="2"/>
      <c r="H2" s="13"/>
      <c r="I2" s="2"/>
      <c r="J2" s="19" t="s">
        <v>574</v>
      </c>
      <c r="K2" s="90" t="s">
        <v>498</v>
      </c>
    </row>
    <row r="3" spans="2:11" x14ac:dyDescent="0.25">
      <c r="B3" s="214" t="s">
        <v>575</v>
      </c>
      <c r="C3" s="2" t="s">
        <v>1</v>
      </c>
      <c r="D3" s="81" t="s">
        <v>552</v>
      </c>
      <c r="E3" s="2" t="s">
        <v>84</v>
      </c>
      <c r="F3" s="9">
        <v>19200</v>
      </c>
      <c r="G3" s="2"/>
      <c r="H3" s="13">
        <v>44100</v>
      </c>
      <c r="I3" s="2">
        <v>3</v>
      </c>
      <c r="J3" s="13">
        <f>+H3/I3*1.19</f>
        <v>17493</v>
      </c>
      <c r="K3" s="13">
        <v>20000</v>
      </c>
    </row>
    <row r="4" spans="2:11" x14ac:dyDescent="0.25">
      <c r="B4" s="215"/>
      <c r="C4" s="2" t="s">
        <v>1</v>
      </c>
      <c r="D4" s="81" t="s">
        <v>577</v>
      </c>
      <c r="E4" s="2" t="s">
        <v>84</v>
      </c>
      <c r="F4" s="9">
        <v>19200</v>
      </c>
      <c r="G4" s="2"/>
      <c r="H4" s="13">
        <v>44100</v>
      </c>
      <c r="I4" s="2">
        <v>3</v>
      </c>
      <c r="J4" s="13">
        <f t="shared" ref="J4:J25" si="0">+H4/I4*1.19</f>
        <v>17493</v>
      </c>
      <c r="K4" s="13">
        <v>20000</v>
      </c>
    </row>
    <row r="5" spans="2:11" x14ac:dyDescent="0.25">
      <c r="B5" s="215"/>
      <c r="C5" s="2" t="s">
        <v>1</v>
      </c>
      <c r="D5" s="81" t="s">
        <v>553</v>
      </c>
      <c r="E5" s="2" t="s">
        <v>84</v>
      </c>
      <c r="F5" s="9">
        <v>19200</v>
      </c>
      <c r="G5" s="2"/>
      <c r="H5" s="13">
        <v>73500</v>
      </c>
      <c r="I5" s="2">
        <v>5</v>
      </c>
      <c r="J5" s="13">
        <f t="shared" si="0"/>
        <v>17493</v>
      </c>
      <c r="K5" s="13">
        <v>20000</v>
      </c>
    </row>
    <row r="6" spans="2:11" x14ac:dyDescent="0.25">
      <c r="B6" s="215"/>
      <c r="C6" s="2" t="s">
        <v>1</v>
      </c>
      <c r="D6" s="81" t="s">
        <v>554</v>
      </c>
      <c r="E6" s="2" t="s">
        <v>191</v>
      </c>
      <c r="F6" s="9">
        <v>65000</v>
      </c>
      <c r="G6" s="2"/>
      <c r="H6" s="13">
        <v>105871</v>
      </c>
      <c r="I6" s="2">
        <v>2</v>
      </c>
      <c r="J6" s="13">
        <f t="shared" si="0"/>
        <v>62993.244999999995</v>
      </c>
      <c r="K6" s="13">
        <v>70000</v>
      </c>
    </row>
    <row r="7" spans="2:11" x14ac:dyDescent="0.25">
      <c r="B7" s="215"/>
      <c r="C7" s="2" t="s">
        <v>1</v>
      </c>
      <c r="D7" s="81" t="s">
        <v>555</v>
      </c>
      <c r="E7" s="2" t="s">
        <v>84</v>
      </c>
      <c r="F7" s="9">
        <v>19200</v>
      </c>
      <c r="G7" s="2"/>
      <c r="H7" s="13">
        <v>73500</v>
      </c>
      <c r="I7" s="2">
        <v>5</v>
      </c>
      <c r="J7" s="13">
        <f t="shared" si="0"/>
        <v>17493</v>
      </c>
      <c r="K7" s="13">
        <v>20000</v>
      </c>
    </row>
    <row r="8" spans="2:11" x14ac:dyDescent="0.25">
      <c r="B8" s="215"/>
      <c r="C8" s="2" t="s">
        <v>1</v>
      </c>
      <c r="D8" s="81" t="s">
        <v>556</v>
      </c>
      <c r="E8" s="2" t="s">
        <v>191</v>
      </c>
      <c r="F8" s="9">
        <v>65000</v>
      </c>
      <c r="G8" s="2"/>
      <c r="H8" s="13">
        <v>158806</v>
      </c>
      <c r="I8" s="2">
        <v>3</v>
      </c>
      <c r="J8" s="13">
        <f t="shared" si="0"/>
        <v>62993.046666666669</v>
      </c>
      <c r="K8" s="13">
        <v>70000</v>
      </c>
    </row>
    <row r="9" spans="2:11" x14ac:dyDescent="0.25">
      <c r="B9" s="215"/>
      <c r="C9" s="2" t="s">
        <v>1</v>
      </c>
      <c r="D9" s="81" t="s">
        <v>557</v>
      </c>
      <c r="E9" s="2" t="s">
        <v>84</v>
      </c>
      <c r="F9" s="9">
        <v>19200</v>
      </c>
      <c r="G9" s="2"/>
      <c r="H9" s="13">
        <v>147000</v>
      </c>
      <c r="I9" s="2">
        <v>10</v>
      </c>
      <c r="J9" s="13">
        <f t="shared" si="0"/>
        <v>17493</v>
      </c>
      <c r="K9" s="13">
        <v>20000</v>
      </c>
    </row>
    <row r="10" spans="2:11" x14ac:dyDescent="0.25">
      <c r="B10" s="215"/>
      <c r="C10" s="2" t="s">
        <v>4</v>
      </c>
      <c r="D10" s="81" t="s">
        <v>558</v>
      </c>
      <c r="E10" s="2" t="s">
        <v>47</v>
      </c>
      <c r="F10" s="9">
        <v>23800</v>
      </c>
      <c r="G10" s="2"/>
      <c r="H10" s="13">
        <v>91147</v>
      </c>
      <c r="I10" s="2">
        <v>5</v>
      </c>
      <c r="J10" s="13">
        <f t="shared" si="0"/>
        <v>21692.986000000001</v>
      </c>
      <c r="K10" s="13">
        <v>25000</v>
      </c>
    </row>
    <row r="11" spans="2:11" x14ac:dyDescent="0.25">
      <c r="B11" s="215"/>
      <c r="C11" s="2" t="s">
        <v>4</v>
      </c>
      <c r="D11" s="81" t="s">
        <v>559</v>
      </c>
      <c r="E11" s="2" t="s">
        <v>190</v>
      </c>
      <c r="F11" s="9">
        <v>56000</v>
      </c>
      <c r="G11" s="2"/>
      <c r="H11" s="13">
        <v>90576</v>
      </c>
      <c r="I11" s="2">
        <v>2</v>
      </c>
      <c r="J11" s="13">
        <f t="shared" si="0"/>
        <v>53892.72</v>
      </c>
      <c r="K11" s="13">
        <v>62000</v>
      </c>
    </row>
    <row r="12" spans="2:11" x14ac:dyDescent="0.25">
      <c r="B12" s="215"/>
      <c r="C12" s="2" t="s">
        <v>4</v>
      </c>
      <c r="D12" s="81" t="s">
        <v>560</v>
      </c>
      <c r="E12" s="2" t="s">
        <v>47</v>
      </c>
      <c r="F12" s="9">
        <v>23800</v>
      </c>
      <c r="G12" s="2"/>
      <c r="H12" s="13">
        <v>54688</v>
      </c>
      <c r="I12" s="2">
        <v>3</v>
      </c>
      <c r="J12" s="13">
        <f t="shared" si="0"/>
        <v>21692.906666666666</v>
      </c>
      <c r="K12" s="13">
        <v>25000</v>
      </c>
    </row>
    <row r="13" spans="2:11" x14ac:dyDescent="0.25">
      <c r="B13" s="215"/>
      <c r="C13" s="2" t="s">
        <v>4</v>
      </c>
      <c r="D13" s="81" t="s">
        <v>581</v>
      </c>
      <c r="E13" s="2" t="s">
        <v>47</v>
      </c>
      <c r="F13" s="9">
        <v>23000</v>
      </c>
      <c r="G13" s="2"/>
      <c r="H13" s="13">
        <v>88207</v>
      </c>
      <c r="I13" s="2">
        <v>5</v>
      </c>
      <c r="J13" s="13">
        <f t="shared" si="0"/>
        <v>20993.266</v>
      </c>
      <c r="K13" s="13">
        <v>25000</v>
      </c>
    </row>
    <row r="14" spans="2:11" x14ac:dyDescent="0.25">
      <c r="B14" s="215"/>
      <c r="C14" s="2" t="s">
        <v>4</v>
      </c>
      <c r="D14" s="81" t="s">
        <v>582</v>
      </c>
      <c r="E14" s="2" t="s">
        <v>190</v>
      </c>
      <c r="F14" s="9">
        <v>54000</v>
      </c>
      <c r="G14" s="2"/>
      <c r="H14" s="13">
        <v>87046</v>
      </c>
      <c r="I14" s="2">
        <v>2</v>
      </c>
      <c r="J14" s="13">
        <f t="shared" si="0"/>
        <v>51792.369999999995</v>
      </c>
      <c r="K14" s="13">
        <v>62000</v>
      </c>
    </row>
    <row r="15" spans="2:11" x14ac:dyDescent="0.25">
      <c r="B15" s="215"/>
      <c r="C15" s="2" t="s">
        <v>4</v>
      </c>
      <c r="D15" s="81" t="s">
        <v>561</v>
      </c>
      <c r="E15" s="2" t="s">
        <v>47</v>
      </c>
      <c r="F15" s="9">
        <v>23000</v>
      </c>
      <c r="G15" s="2"/>
      <c r="H15" s="13">
        <v>52924</v>
      </c>
      <c r="I15" s="2">
        <v>3</v>
      </c>
      <c r="J15" s="13">
        <f t="shared" si="0"/>
        <v>20993.186666666665</v>
      </c>
      <c r="K15" s="13">
        <v>25000</v>
      </c>
    </row>
    <row r="16" spans="2:11" x14ac:dyDescent="0.25">
      <c r="B16" s="215"/>
      <c r="C16" s="2" t="s">
        <v>4</v>
      </c>
      <c r="D16" s="81" t="s">
        <v>562</v>
      </c>
      <c r="E16" s="2" t="s">
        <v>47</v>
      </c>
      <c r="F16" s="9">
        <v>23000</v>
      </c>
      <c r="G16" s="2"/>
      <c r="H16" s="13">
        <v>52924</v>
      </c>
      <c r="I16" s="2">
        <v>3</v>
      </c>
      <c r="J16" s="13">
        <f t="shared" si="0"/>
        <v>20993.186666666665</v>
      </c>
      <c r="K16" s="13">
        <v>25000</v>
      </c>
    </row>
    <row r="17" spans="2:13" x14ac:dyDescent="0.25">
      <c r="B17" s="215"/>
      <c r="C17" s="2" t="s">
        <v>4</v>
      </c>
      <c r="D17" s="81" t="s">
        <v>563</v>
      </c>
      <c r="E17" s="2" t="s">
        <v>47</v>
      </c>
      <c r="F17" s="9">
        <v>23000</v>
      </c>
      <c r="G17" s="2"/>
      <c r="H17" s="13">
        <v>52924</v>
      </c>
      <c r="I17" s="2">
        <v>3</v>
      </c>
      <c r="J17" s="13">
        <f t="shared" si="0"/>
        <v>20993.186666666665</v>
      </c>
      <c r="K17" s="13">
        <v>25000</v>
      </c>
    </row>
    <row r="18" spans="2:13" x14ac:dyDescent="0.25">
      <c r="B18" s="216"/>
      <c r="C18" s="2" t="s">
        <v>4</v>
      </c>
      <c r="D18" s="81" t="s">
        <v>564</v>
      </c>
      <c r="E18" s="2" t="s">
        <v>47</v>
      </c>
      <c r="F18" s="9">
        <v>23000</v>
      </c>
      <c r="G18" s="2"/>
      <c r="H18" s="13">
        <v>52924</v>
      </c>
      <c r="I18" s="2">
        <v>3</v>
      </c>
      <c r="J18" s="13">
        <f t="shared" si="0"/>
        <v>20993.186666666665</v>
      </c>
      <c r="K18" s="13">
        <v>25000</v>
      </c>
    </row>
    <row r="19" spans="2:13" x14ac:dyDescent="0.25">
      <c r="B19" s="214" t="s">
        <v>576</v>
      </c>
      <c r="C19" s="2" t="s">
        <v>1</v>
      </c>
      <c r="D19" s="81" t="s">
        <v>565</v>
      </c>
      <c r="E19" s="2" t="s">
        <v>572</v>
      </c>
      <c r="F19" s="9">
        <v>10000</v>
      </c>
      <c r="G19" s="2"/>
      <c r="H19" s="13">
        <v>22924</v>
      </c>
      <c r="I19" s="2">
        <v>3</v>
      </c>
      <c r="J19" s="13">
        <f t="shared" si="0"/>
        <v>9093.1866666666665</v>
      </c>
      <c r="K19" s="13">
        <v>12000</v>
      </c>
    </row>
    <row r="20" spans="2:13" x14ac:dyDescent="0.25">
      <c r="B20" s="215"/>
      <c r="C20" s="2" t="s">
        <v>1</v>
      </c>
      <c r="D20" s="81" t="s">
        <v>566</v>
      </c>
      <c r="E20" s="2" t="s">
        <v>572</v>
      </c>
      <c r="F20" s="9">
        <v>10000</v>
      </c>
      <c r="G20" s="2"/>
      <c r="H20" s="13">
        <v>24688</v>
      </c>
      <c r="I20" s="2">
        <v>3</v>
      </c>
      <c r="J20" s="13">
        <f t="shared" si="0"/>
        <v>9792.9066666666677</v>
      </c>
      <c r="K20" s="13">
        <v>12000</v>
      </c>
    </row>
    <row r="21" spans="2:13" x14ac:dyDescent="0.25">
      <c r="B21" s="215"/>
      <c r="C21" s="2" t="s">
        <v>1</v>
      </c>
      <c r="D21" s="81" t="s">
        <v>567</v>
      </c>
      <c r="E21" s="2" t="s">
        <v>573</v>
      </c>
      <c r="F21" s="9">
        <v>410</v>
      </c>
      <c r="G21" s="2"/>
      <c r="H21" s="13">
        <v>45000</v>
      </c>
      <c r="I21" s="2">
        <v>10</v>
      </c>
      <c r="J21" s="13">
        <f t="shared" si="0"/>
        <v>5355</v>
      </c>
      <c r="K21" s="13">
        <v>600</v>
      </c>
      <c r="M21">
        <f>+J21/15</f>
        <v>357</v>
      </c>
    </row>
    <row r="22" spans="2:13" x14ac:dyDescent="0.25">
      <c r="B22" s="215"/>
      <c r="C22" s="2" t="s">
        <v>1</v>
      </c>
      <c r="D22" s="81" t="s">
        <v>568</v>
      </c>
      <c r="E22" s="2" t="s">
        <v>320</v>
      </c>
      <c r="F22" s="9">
        <v>3240</v>
      </c>
      <c r="G22" s="2"/>
      <c r="H22" s="13">
        <v>59406</v>
      </c>
      <c r="I22" s="2">
        <v>24</v>
      </c>
      <c r="J22" s="13">
        <f t="shared" si="0"/>
        <v>2945.5474999999997</v>
      </c>
      <c r="K22" s="13">
        <v>3600</v>
      </c>
    </row>
    <row r="23" spans="2:13" x14ac:dyDescent="0.25">
      <c r="B23" s="215"/>
      <c r="C23" s="2" t="s">
        <v>1</v>
      </c>
      <c r="D23" s="81" t="s">
        <v>569</v>
      </c>
      <c r="E23" s="2" t="s">
        <v>320</v>
      </c>
      <c r="F23" s="9">
        <v>3240</v>
      </c>
      <c r="G23" s="2"/>
      <c r="H23" s="13">
        <v>59406</v>
      </c>
      <c r="I23" s="2">
        <v>24</v>
      </c>
      <c r="J23" s="13">
        <f t="shared" si="0"/>
        <v>2945.5474999999997</v>
      </c>
      <c r="K23" s="13">
        <v>3600</v>
      </c>
    </row>
    <row r="24" spans="2:13" x14ac:dyDescent="0.25">
      <c r="B24" s="215"/>
      <c r="C24" s="2" t="s">
        <v>4</v>
      </c>
      <c r="D24" s="81" t="s">
        <v>570</v>
      </c>
      <c r="E24" s="2" t="s">
        <v>320</v>
      </c>
      <c r="F24" s="9">
        <v>3240</v>
      </c>
      <c r="G24" s="2"/>
      <c r="H24" s="13">
        <v>59406</v>
      </c>
      <c r="I24" s="2">
        <v>24</v>
      </c>
      <c r="J24" s="13">
        <f t="shared" si="0"/>
        <v>2945.5474999999997</v>
      </c>
      <c r="K24" s="13">
        <v>3600</v>
      </c>
    </row>
    <row r="25" spans="2:13" x14ac:dyDescent="0.25">
      <c r="B25" s="216"/>
      <c r="C25" s="2" t="s">
        <v>4</v>
      </c>
      <c r="D25" s="81" t="s">
        <v>571</v>
      </c>
      <c r="E25" s="2" t="s">
        <v>320</v>
      </c>
      <c r="F25" s="9">
        <v>3240</v>
      </c>
      <c r="G25" s="2"/>
      <c r="H25" s="13">
        <v>59406</v>
      </c>
      <c r="I25" s="2">
        <v>24</v>
      </c>
      <c r="J25" s="13">
        <f t="shared" si="0"/>
        <v>2945.5474999999997</v>
      </c>
      <c r="K25" s="13">
        <v>3600</v>
      </c>
    </row>
  </sheetData>
  <mergeCells count="2">
    <mergeCell ref="B3:B18"/>
    <mergeCell ref="B19:B25"/>
  </mergeCells>
  <pageMargins left="0.7" right="0.7" top="0.75" bottom="0.75" header="0.3" footer="0.3"/>
  <pageSetup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31"/>
  <sheetViews>
    <sheetView zoomScale="70" zoomScaleNormal="70" workbookViewId="0">
      <selection activeCell="F2" sqref="F2"/>
    </sheetView>
  </sheetViews>
  <sheetFormatPr baseColWidth="10" defaultRowHeight="15" x14ac:dyDescent="0.25"/>
  <cols>
    <col min="2" max="2" width="16.140625" bestFit="1" customWidth="1"/>
    <col min="3" max="3" width="12.5703125" bestFit="1" customWidth="1"/>
    <col min="4" max="4" width="63.42578125" bestFit="1" customWidth="1"/>
    <col min="5" max="5" width="12.85546875" bestFit="1" customWidth="1"/>
    <col min="6" max="6" width="13.42578125" bestFit="1" customWidth="1"/>
  </cols>
  <sheetData>
    <row r="2" spans="2:6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90" t="s">
        <v>194</v>
      </c>
    </row>
    <row r="3" spans="2:6" ht="18.75" x14ac:dyDescent="0.3">
      <c r="B3" s="221" t="s">
        <v>360</v>
      </c>
      <c r="C3" s="222" t="s">
        <v>4</v>
      </c>
      <c r="D3" s="46" t="s">
        <v>361</v>
      </c>
      <c r="E3" s="46" t="s">
        <v>362</v>
      </c>
      <c r="F3" s="47">
        <v>15500</v>
      </c>
    </row>
    <row r="4" spans="2:6" ht="18.75" x14ac:dyDescent="0.3">
      <c r="B4" s="221"/>
      <c r="C4" s="222"/>
      <c r="D4" s="46" t="s">
        <v>363</v>
      </c>
      <c r="E4" s="46" t="s">
        <v>364</v>
      </c>
      <c r="F4" s="47">
        <v>39000</v>
      </c>
    </row>
    <row r="5" spans="2:6" ht="18.75" x14ac:dyDescent="0.3">
      <c r="B5" s="221"/>
      <c r="C5" s="222"/>
      <c r="D5" s="46" t="s">
        <v>365</v>
      </c>
      <c r="E5" s="46" t="s">
        <v>362</v>
      </c>
      <c r="F5" s="47">
        <v>16500</v>
      </c>
    </row>
    <row r="6" spans="2:6" ht="18.75" x14ac:dyDescent="0.3">
      <c r="B6" s="221"/>
      <c r="C6" s="222"/>
      <c r="D6" s="46" t="s">
        <v>366</v>
      </c>
      <c r="E6" s="46" t="s">
        <v>364</v>
      </c>
      <c r="F6" s="47">
        <v>41500</v>
      </c>
    </row>
    <row r="7" spans="2:6" ht="18.75" x14ac:dyDescent="0.3">
      <c r="B7" s="221"/>
      <c r="C7" s="222"/>
      <c r="D7" s="46" t="s">
        <v>367</v>
      </c>
      <c r="E7" s="46" t="s">
        <v>362</v>
      </c>
      <c r="F7" s="47">
        <v>13800</v>
      </c>
    </row>
    <row r="8" spans="2:6" ht="18.75" x14ac:dyDescent="0.3">
      <c r="B8" s="221"/>
      <c r="C8" s="222"/>
      <c r="D8" s="46" t="s">
        <v>368</v>
      </c>
      <c r="E8" s="46" t="s">
        <v>364</v>
      </c>
      <c r="F8" s="47">
        <v>37900</v>
      </c>
    </row>
    <row r="9" spans="2:6" ht="18.75" x14ac:dyDescent="0.3">
      <c r="B9" s="221"/>
      <c r="C9" s="200" t="s">
        <v>1</v>
      </c>
      <c r="D9" s="46" t="s">
        <v>369</v>
      </c>
      <c r="E9" s="46" t="s">
        <v>125</v>
      </c>
      <c r="F9" s="47">
        <v>13800</v>
      </c>
    </row>
    <row r="10" spans="2:6" ht="18.75" x14ac:dyDescent="0.3">
      <c r="B10" s="221"/>
      <c r="C10" s="201"/>
      <c r="D10" s="46" t="s">
        <v>370</v>
      </c>
      <c r="E10" s="46" t="s">
        <v>371</v>
      </c>
      <c r="F10" s="47">
        <v>37500</v>
      </c>
    </row>
    <row r="11" spans="2:6" ht="18.75" x14ac:dyDescent="0.3">
      <c r="B11" s="221"/>
      <c r="C11" s="201"/>
      <c r="D11" s="46" t="s">
        <v>372</v>
      </c>
      <c r="E11" s="46" t="s">
        <v>371</v>
      </c>
      <c r="F11" s="47">
        <v>34700</v>
      </c>
    </row>
    <row r="12" spans="2:6" ht="18.75" x14ac:dyDescent="0.3">
      <c r="B12" s="221"/>
      <c r="C12" s="202"/>
      <c r="D12" s="46" t="s">
        <v>373</v>
      </c>
      <c r="E12" s="46" t="s">
        <v>125</v>
      </c>
      <c r="F12" s="47">
        <v>14400</v>
      </c>
    </row>
    <row r="13" spans="2:6" ht="18.75" x14ac:dyDescent="0.3">
      <c r="D13" s="48"/>
      <c r="F13" s="49"/>
    </row>
    <row r="14" spans="2:6" ht="18.75" x14ac:dyDescent="0.3">
      <c r="B14" s="221" t="s">
        <v>374</v>
      </c>
      <c r="C14" s="222" t="s">
        <v>4</v>
      </c>
      <c r="D14" s="46" t="s">
        <v>375</v>
      </c>
      <c r="E14" s="46" t="s">
        <v>125</v>
      </c>
      <c r="F14" s="47">
        <v>15900</v>
      </c>
    </row>
    <row r="15" spans="2:6" ht="18.75" x14ac:dyDescent="0.3">
      <c r="B15" s="221"/>
      <c r="C15" s="222"/>
      <c r="D15" s="46" t="s">
        <v>376</v>
      </c>
      <c r="E15" s="46" t="s">
        <v>371</v>
      </c>
      <c r="F15" s="47">
        <v>38400</v>
      </c>
    </row>
    <row r="16" spans="2:6" ht="18.75" x14ac:dyDescent="0.3">
      <c r="B16" s="221"/>
      <c r="C16" s="222"/>
      <c r="D16" s="46" t="s">
        <v>377</v>
      </c>
      <c r="E16" s="46" t="s">
        <v>362</v>
      </c>
      <c r="F16" s="47">
        <v>19800</v>
      </c>
    </row>
    <row r="17" spans="2:6" ht="18.75" x14ac:dyDescent="0.3">
      <c r="B17" s="221"/>
      <c r="C17" s="222"/>
      <c r="D17" s="46" t="s">
        <v>378</v>
      </c>
      <c r="E17" s="46" t="s">
        <v>183</v>
      </c>
      <c r="F17" s="47">
        <v>52300</v>
      </c>
    </row>
    <row r="18" spans="2:6" ht="18.75" x14ac:dyDescent="0.3">
      <c r="B18" s="221"/>
      <c r="C18" s="222"/>
      <c r="D18" s="46" t="s">
        <v>379</v>
      </c>
      <c r="E18" s="46" t="s">
        <v>371</v>
      </c>
      <c r="F18" s="47">
        <v>41200</v>
      </c>
    </row>
    <row r="19" spans="2:6" ht="18.75" x14ac:dyDescent="0.3">
      <c r="B19" s="221"/>
      <c r="C19" s="222"/>
      <c r="D19" s="46" t="s">
        <v>380</v>
      </c>
      <c r="E19" s="46" t="s">
        <v>371</v>
      </c>
      <c r="F19" s="47">
        <v>36800</v>
      </c>
    </row>
    <row r="20" spans="2:6" ht="18.75" x14ac:dyDescent="0.3">
      <c r="B20" s="221"/>
      <c r="C20" s="222"/>
      <c r="D20" s="46" t="s">
        <v>381</v>
      </c>
      <c r="E20" s="46" t="s">
        <v>183</v>
      </c>
      <c r="F20" s="47">
        <v>53500</v>
      </c>
    </row>
    <row r="21" spans="2:6" ht="18.75" x14ac:dyDescent="0.3">
      <c r="B21" s="221"/>
      <c r="C21" s="222"/>
      <c r="D21" s="46" t="s">
        <v>382</v>
      </c>
      <c r="E21" s="46" t="s">
        <v>183</v>
      </c>
      <c r="F21" s="47">
        <v>53500</v>
      </c>
    </row>
    <row r="22" spans="2:6" ht="18.75" x14ac:dyDescent="0.3">
      <c r="B22" s="221"/>
      <c r="C22" s="222"/>
      <c r="D22" s="46" t="s">
        <v>431</v>
      </c>
      <c r="E22" s="46" t="s">
        <v>183</v>
      </c>
      <c r="F22" s="47">
        <v>48800</v>
      </c>
    </row>
    <row r="23" spans="2:6" ht="18.75" x14ac:dyDescent="0.3">
      <c r="B23" s="221"/>
      <c r="C23" s="222"/>
      <c r="D23" s="46" t="s">
        <v>383</v>
      </c>
      <c r="E23" s="46" t="s">
        <v>183</v>
      </c>
      <c r="F23" s="47">
        <v>53500</v>
      </c>
    </row>
    <row r="24" spans="2:6" ht="18.75" x14ac:dyDescent="0.3">
      <c r="B24" s="221"/>
      <c r="C24" s="222"/>
      <c r="D24" s="46" t="s">
        <v>384</v>
      </c>
      <c r="E24" s="46" t="s">
        <v>125</v>
      </c>
      <c r="F24" s="47">
        <v>16800</v>
      </c>
    </row>
    <row r="25" spans="2:6" ht="18.75" x14ac:dyDescent="0.3">
      <c r="B25" s="221"/>
      <c r="C25" s="222"/>
      <c r="D25" s="46" t="s">
        <v>385</v>
      </c>
      <c r="E25" s="46" t="s">
        <v>371</v>
      </c>
      <c r="F25" s="47">
        <v>38000</v>
      </c>
    </row>
    <row r="26" spans="2:6" ht="18.75" x14ac:dyDescent="0.3">
      <c r="B26" s="221"/>
      <c r="C26" s="219" t="s">
        <v>1</v>
      </c>
      <c r="D26" s="46" t="s">
        <v>386</v>
      </c>
      <c r="E26" s="46" t="s">
        <v>371</v>
      </c>
      <c r="F26" s="47">
        <v>44000</v>
      </c>
    </row>
    <row r="27" spans="2:6" ht="18.75" x14ac:dyDescent="0.3">
      <c r="B27" s="221"/>
      <c r="C27" s="219"/>
      <c r="D27" s="46" t="s">
        <v>387</v>
      </c>
      <c r="E27" s="46" t="s">
        <v>125</v>
      </c>
      <c r="F27" s="47">
        <v>16500</v>
      </c>
    </row>
    <row r="28" spans="2:6" ht="18.75" x14ac:dyDescent="0.3">
      <c r="B28" s="221"/>
      <c r="C28" s="219"/>
      <c r="D28" s="46" t="s">
        <v>388</v>
      </c>
      <c r="E28" s="46" t="s">
        <v>371</v>
      </c>
      <c r="F28" s="47">
        <v>42800</v>
      </c>
    </row>
    <row r="29" spans="2:6" ht="18.75" x14ac:dyDescent="0.3">
      <c r="B29" s="221"/>
      <c r="C29" s="219"/>
      <c r="D29" s="46" t="s">
        <v>389</v>
      </c>
      <c r="E29" s="46" t="s">
        <v>371</v>
      </c>
      <c r="F29" s="47">
        <v>40500</v>
      </c>
    </row>
    <row r="30" spans="2:6" ht="18.75" x14ac:dyDescent="0.3">
      <c r="B30" s="221"/>
      <c r="C30" s="219"/>
      <c r="D30" s="46" t="s">
        <v>432</v>
      </c>
      <c r="E30" s="46" t="s">
        <v>125</v>
      </c>
      <c r="F30" s="47">
        <v>17000</v>
      </c>
    </row>
    <row r="31" spans="2:6" ht="18.75" x14ac:dyDescent="0.3">
      <c r="B31" s="221"/>
      <c r="C31" s="219"/>
      <c r="D31" s="46" t="s">
        <v>390</v>
      </c>
      <c r="E31" s="46" t="s">
        <v>371</v>
      </c>
      <c r="F31" s="47">
        <v>42800</v>
      </c>
    </row>
  </sheetData>
  <mergeCells count="6">
    <mergeCell ref="B3:B12"/>
    <mergeCell ref="C3:C8"/>
    <mergeCell ref="C9:C12"/>
    <mergeCell ref="B14:B31"/>
    <mergeCell ref="C14:C25"/>
    <mergeCell ref="C26:C31"/>
  </mergeCells>
  <pageMargins left="1" right="1" top="1" bottom="1" header="0.5" footer="0.5"/>
  <pageSetup scale="83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topLeftCell="E1" workbookViewId="0">
      <selection activeCell="E1" sqref="E1"/>
    </sheetView>
  </sheetViews>
  <sheetFormatPr baseColWidth="10" defaultRowHeight="15" x14ac:dyDescent="0.25"/>
  <cols>
    <col min="4" max="4" width="74.42578125" bestFit="1" customWidth="1"/>
    <col min="5" max="5" width="13.42578125" bestFit="1" customWidth="1"/>
  </cols>
  <sheetData>
    <row r="2" spans="2:5" ht="18.75" x14ac:dyDescent="0.3">
      <c r="B2" s="18" t="s">
        <v>192</v>
      </c>
      <c r="C2" s="18" t="s">
        <v>247</v>
      </c>
      <c r="D2" s="19" t="s">
        <v>248</v>
      </c>
      <c r="E2" s="90" t="s">
        <v>194</v>
      </c>
    </row>
    <row r="3" spans="2:5" x14ac:dyDescent="0.25">
      <c r="C3" s="223" t="s">
        <v>1</v>
      </c>
      <c r="D3" s="2" t="s">
        <v>404</v>
      </c>
      <c r="E3" s="13">
        <v>14000</v>
      </c>
    </row>
    <row r="4" spans="2:5" x14ac:dyDescent="0.25">
      <c r="C4" s="224"/>
      <c r="D4" s="2" t="s">
        <v>405</v>
      </c>
      <c r="E4" s="13">
        <v>46900</v>
      </c>
    </row>
    <row r="5" spans="2:5" x14ac:dyDescent="0.25">
      <c r="C5" s="224"/>
      <c r="D5" s="2" t="s">
        <v>406</v>
      </c>
      <c r="E5" s="13">
        <v>14000</v>
      </c>
    </row>
    <row r="6" spans="2:5" x14ac:dyDescent="0.25">
      <c r="C6" s="224"/>
      <c r="D6" s="2" t="s">
        <v>407</v>
      </c>
      <c r="E6" s="13">
        <v>40800</v>
      </c>
    </row>
    <row r="7" spans="2:5" x14ac:dyDescent="0.25">
      <c r="C7" s="224"/>
      <c r="D7" s="2" t="s">
        <v>408</v>
      </c>
      <c r="E7" s="13">
        <v>14000</v>
      </c>
    </row>
    <row r="8" spans="2:5" x14ac:dyDescent="0.25">
      <c r="C8" s="224"/>
      <c r="D8" s="2" t="s">
        <v>409</v>
      </c>
      <c r="E8" s="13">
        <v>40800</v>
      </c>
    </row>
    <row r="9" spans="2:5" x14ac:dyDescent="0.25">
      <c r="C9" s="224"/>
      <c r="D9" s="2" t="s">
        <v>410</v>
      </c>
      <c r="E9" s="13">
        <v>14000</v>
      </c>
    </row>
    <row r="10" spans="2:5" x14ac:dyDescent="0.25">
      <c r="C10" s="224"/>
      <c r="D10" s="2" t="s">
        <v>411</v>
      </c>
      <c r="E10" s="13">
        <v>40000</v>
      </c>
    </row>
    <row r="11" spans="2:5" x14ac:dyDescent="0.25">
      <c r="C11" s="224"/>
      <c r="D11" s="2" t="s">
        <v>412</v>
      </c>
      <c r="E11" s="13">
        <v>14000</v>
      </c>
    </row>
    <row r="12" spans="2:5" x14ac:dyDescent="0.25">
      <c r="C12" s="224"/>
      <c r="D12" s="2" t="s">
        <v>413</v>
      </c>
      <c r="E12" s="13">
        <v>40800</v>
      </c>
    </row>
    <row r="13" spans="2:5" x14ac:dyDescent="0.25">
      <c r="D13" s="2" t="s">
        <v>414</v>
      </c>
      <c r="E13" s="13">
        <v>15000</v>
      </c>
    </row>
    <row r="14" spans="2:5" x14ac:dyDescent="0.25">
      <c r="D14" s="2" t="s">
        <v>415</v>
      </c>
      <c r="E14" s="13">
        <v>53000</v>
      </c>
    </row>
    <row r="15" spans="2:5" x14ac:dyDescent="0.25">
      <c r="D15" s="2" t="s">
        <v>416</v>
      </c>
      <c r="E15" s="13">
        <v>56600</v>
      </c>
    </row>
    <row r="16" spans="2:5" x14ac:dyDescent="0.25">
      <c r="D16" s="2" t="s">
        <v>417</v>
      </c>
      <c r="E16" s="13">
        <v>15000</v>
      </c>
    </row>
    <row r="17" spans="4:5" x14ac:dyDescent="0.25">
      <c r="D17" s="2" t="s">
        <v>418</v>
      </c>
      <c r="E17" s="13">
        <v>53200</v>
      </c>
    </row>
    <row r="18" spans="4:5" x14ac:dyDescent="0.25">
      <c r="D18" s="2" t="s">
        <v>419</v>
      </c>
      <c r="E18" s="13">
        <v>17000</v>
      </c>
    </row>
    <row r="19" spans="4:5" x14ac:dyDescent="0.25">
      <c r="D19" s="2" t="s">
        <v>420</v>
      </c>
      <c r="E19" s="13">
        <v>46400</v>
      </c>
    </row>
    <row r="20" spans="4:5" x14ac:dyDescent="0.25">
      <c r="D20" s="2" t="s">
        <v>421</v>
      </c>
      <c r="E20" s="13">
        <v>45800</v>
      </c>
    </row>
    <row r="21" spans="4:5" x14ac:dyDescent="0.25">
      <c r="D21" s="2" t="s">
        <v>422</v>
      </c>
      <c r="E21" s="13">
        <v>16000</v>
      </c>
    </row>
    <row r="22" spans="4:5" x14ac:dyDescent="0.25">
      <c r="D22" s="2" t="s">
        <v>423</v>
      </c>
      <c r="E22" s="13">
        <v>43500</v>
      </c>
    </row>
    <row r="23" spans="4:5" x14ac:dyDescent="0.25">
      <c r="D23" s="2" t="s">
        <v>424</v>
      </c>
      <c r="E23" s="13">
        <v>15000</v>
      </c>
    </row>
    <row r="24" spans="4:5" x14ac:dyDescent="0.25">
      <c r="D24" s="2" t="s">
        <v>425</v>
      </c>
      <c r="E24" s="13">
        <v>56900</v>
      </c>
    </row>
    <row r="25" spans="4:5" x14ac:dyDescent="0.25">
      <c r="D25" s="2" t="s">
        <v>426</v>
      </c>
      <c r="E25" s="13">
        <v>18000</v>
      </c>
    </row>
    <row r="26" spans="4:5" x14ac:dyDescent="0.25">
      <c r="D26" s="2" t="s">
        <v>427</v>
      </c>
      <c r="E26" s="13">
        <v>17000</v>
      </c>
    </row>
    <row r="27" spans="4:5" x14ac:dyDescent="0.25">
      <c r="D27" s="2" t="s">
        <v>428</v>
      </c>
      <c r="E27" s="13">
        <v>16000</v>
      </c>
    </row>
    <row r="28" spans="4:5" x14ac:dyDescent="0.25">
      <c r="D28" s="2" t="s">
        <v>429</v>
      </c>
      <c r="E28" s="13">
        <v>16000</v>
      </c>
    </row>
    <row r="29" spans="4:5" x14ac:dyDescent="0.25">
      <c r="D29" s="2" t="s">
        <v>430</v>
      </c>
      <c r="E29" s="13">
        <v>32000</v>
      </c>
    </row>
  </sheetData>
  <mergeCells count="1">
    <mergeCell ref="C3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"/>
  <sheetViews>
    <sheetView workbookViewId="0">
      <selection activeCell="H10" sqref="H10"/>
    </sheetView>
  </sheetViews>
  <sheetFormatPr baseColWidth="10" defaultRowHeight="15" x14ac:dyDescent="0.25"/>
  <cols>
    <col min="2" max="2" width="9.5703125" bestFit="1" customWidth="1"/>
    <col min="3" max="3" width="12.5703125" bestFit="1" customWidth="1"/>
    <col min="4" max="4" width="14.28515625" bestFit="1" customWidth="1"/>
    <col min="5" max="5" width="12.85546875" bestFit="1" customWidth="1"/>
    <col min="6" max="6" width="13.42578125" bestFit="1" customWidth="1"/>
    <col min="7" max="7" width="22" bestFit="1" customWidth="1"/>
    <col min="8" max="8" width="27" bestFit="1" customWidth="1"/>
  </cols>
  <sheetData>
    <row r="2" spans="2:8" ht="18.75" x14ac:dyDescent="0.3">
      <c r="B2" s="18" t="s">
        <v>192</v>
      </c>
      <c r="C2" s="18" t="s">
        <v>247</v>
      </c>
      <c r="D2" s="19" t="s">
        <v>248</v>
      </c>
      <c r="E2" s="19" t="s">
        <v>193</v>
      </c>
      <c r="F2" s="19" t="s">
        <v>249</v>
      </c>
      <c r="G2" s="20" t="s">
        <v>250</v>
      </c>
      <c r="H2" s="19" t="s">
        <v>251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12"/>
  <sheetViews>
    <sheetView workbookViewId="0">
      <selection activeCell="C4" sqref="C4:F11"/>
    </sheetView>
  </sheetViews>
  <sheetFormatPr baseColWidth="10" defaultRowHeight="15" x14ac:dyDescent="0.25"/>
  <sheetData>
    <row r="4" spans="3:6" x14ac:dyDescent="0.25">
      <c r="C4">
        <v>2</v>
      </c>
      <c r="D4" t="s">
        <v>596</v>
      </c>
      <c r="E4">
        <v>22800</v>
      </c>
      <c r="F4" s="12">
        <f>+E4*C4</f>
        <v>45600</v>
      </c>
    </row>
    <row r="5" spans="3:6" x14ac:dyDescent="0.25">
      <c r="C5">
        <v>4</v>
      </c>
      <c r="D5" t="s">
        <v>591</v>
      </c>
      <c r="E5" s="12">
        <v>27000</v>
      </c>
      <c r="F5" s="12">
        <f>+E5*C5</f>
        <v>108000</v>
      </c>
    </row>
    <row r="6" spans="3:6" x14ac:dyDescent="0.25">
      <c r="C6">
        <v>4</v>
      </c>
      <c r="D6" t="s">
        <v>592</v>
      </c>
      <c r="E6" s="12">
        <v>21000</v>
      </c>
      <c r="F6" s="12">
        <f t="shared" ref="F6:F9" si="0">+E6*C6</f>
        <v>84000</v>
      </c>
    </row>
    <row r="7" spans="3:6" x14ac:dyDescent="0.25">
      <c r="C7">
        <v>5</v>
      </c>
      <c r="D7" t="s">
        <v>593</v>
      </c>
      <c r="E7" s="12">
        <v>24000</v>
      </c>
      <c r="F7" s="12">
        <f t="shared" si="0"/>
        <v>120000</v>
      </c>
    </row>
    <row r="8" spans="3:6" x14ac:dyDescent="0.25">
      <c r="C8">
        <v>1</v>
      </c>
      <c r="D8" t="s">
        <v>594</v>
      </c>
      <c r="E8" s="12">
        <v>41000</v>
      </c>
      <c r="F8" s="12">
        <f t="shared" si="0"/>
        <v>41000</v>
      </c>
    </row>
    <row r="9" spans="3:6" x14ac:dyDescent="0.25">
      <c r="C9">
        <v>2</v>
      </c>
      <c r="D9" t="s">
        <v>595</v>
      </c>
      <c r="E9" s="12">
        <v>38000</v>
      </c>
      <c r="F9" s="12">
        <f t="shared" si="0"/>
        <v>76000</v>
      </c>
    </row>
    <row r="10" spans="3:6" x14ac:dyDescent="0.25">
      <c r="E10" s="12"/>
      <c r="F10" s="12"/>
    </row>
    <row r="11" spans="3:6" x14ac:dyDescent="0.25">
      <c r="E11" s="12"/>
      <c r="F11" s="12">
        <f>SUM(F4:F10)</f>
        <v>474600</v>
      </c>
    </row>
    <row r="12" spans="3:6" x14ac:dyDescent="0.25">
      <c r="E12" s="12"/>
      <c r="F12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workbookViewId="0">
      <selection activeCell="H17" sqref="B2:H17"/>
    </sheetView>
  </sheetViews>
  <sheetFormatPr baseColWidth="10" defaultRowHeight="15" x14ac:dyDescent="0.25"/>
  <cols>
    <col min="2" max="2" width="46.28515625" bestFit="1" customWidth="1"/>
    <col min="6" max="6" width="21.42578125" bestFit="1" customWidth="1"/>
  </cols>
  <sheetData>
    <row r="2" spans="2:9" x14ac:dyDescent="0.25">
      <c r="B2" s="5" t="s">
        <v>30</v>
      </c>
      <c r="C2" s="5" t="s">
        <v>3</v>
      </c>
      <c r="D2" s="6">
        <v>13500</v>
      </c>
      <c r="F2" s="5" t="s">
        <v>53</v>
      </c>
      <c r="G2" s="5" t="s">
        <v>8</v>
      </c>
      <c r="H2" s="6">
        <v>35000</v>
      </c>
    </row>
    <row r="3" spans="2:9" x14ac:dyDescent="0.25">
      <c r="B3" s="10" t="s">
        <v>470</v>
      </c>
      <c r="C3" s="10" t="s">
        <v>3</v>
      </c>
      <c r="D3" s="9">
        <v>13000</v>
      </c>
      <c r="F3" s="5" t="s">
        <v>469</v>
      </c>
      <c r="G3" s="10" t="s">
        <v>24</v>
      </c>
      <c r="H3" s="9">
        <v>16000</v>
      </c>
    </row>
    <row r="4" spans="2:9" x14ac:dyDescent="0.25">
      <c r="B4" s="5" t="s">
        <v>12</v>
      </c>
      <c r="C4" s="5" t="s">
        <v>11</v>
      </c>
      <c r="D4" s="6">
        <v>26000</v>
      </c>
      <c r="E4" s="14"/>
      <c r="F4" s="5" t="s">
        <v>90</v>
      </c>
      <c r="G4" s="5" t="s">
        <v>24</v>
      </c>
      <c r="H4" s="6">
        <v>18500</v>
      </c>
      <c r="I4" s="14"/>
    </row>
    <row r="5" spans="2:9" x14ac:dyDescent="0.25">
      <c r="B5" s="5" t="s">
        <v>66</v>
      </c>
      <c r="C5" s="5" t="s">
        <v>21</v>
      </c>
      <c r="D5" s="6">
        <v>26500</v>
      </c>
      <c r="E5" s="14"/>
      <c r="F5" s="5" t="s">
        <v>90</v>
      </c>
      <c r="G5" s="5" t="s">
        <v>88</v>
      </c>
      <c r="H5" s="6">
        <v>2700</v>
      </c>
      <c r="I5" s="14"/>
    </row>
    <row r="6" spans="2:9" x14ac:dyDescent="0.25">
      <c r="B6" s="5" t="s">
        <v>452</v>
      </c>
      <c r="C6" s="5" t="s">
        <v>21</v>
      </c>
      <c r="D6" s="6">
        <v>23800</v>
      </c>
      <c r="E6" s="14"/>
      <c r="F6" s="2" t="s">
        <v>196</v>
      </c>
      <c r="G6" s="2" t="s">
        <v>125</v>
      </c>
      <c r="H6" s="13">
        <v>17000</v>
      </c>
      <c r="I6" s="14"/>
    </row>
    <row r="7" spans="2:9" x14ac:dyDescent="0.25">
      <c r="B7" s="5" t="s">
        <v>76</v>
      </c>
      <c r="C7" s="5" t="s">
        <v>41</v>
      </c>
      <c r="D7" s="6">
        <v>20000</v>
      </c>
      <c r="E7" s="14"/>
      <c r="F7" s="5" t="s">
        <v>162</v>
      </c>
      <c r="G7" s="5" t="s">
        <v>160</v>
      </c>
      <c r="H7" s="9">
        <v>50000</v>
      </c>
      <c r="I7" s="14"/>
    </row>
    <row r="8" spans="2:9" x14ac:dyDescent="0.25">
      <c r="B8" s="5" t="s">
        <v>85</v>
      </c>
      <c r="C8" s="5" t="s">
        <v>41</v>
      </c>
      <c r="D8" s="6">
        <v>24500</v>
      </c>
      <c r="E8" s="14"/>
      <c r="F8" s="5" t="s">
        <v>162</v>
      </c>
      <c r="G8" s="5" t="s">
        <v>24</v>
      </c>
      <c r="H8" s="9">
        <v>24300</v>
      </c>
      <c r="I8" s="14"/>
    </row>
    <row r="9" spans="2:9" x14ac:dyDescent="0.25">
      <c r="B9" s="5" t="s">
        <v>100</v>
      </c>
      <c r="C9" s="10" t="s">
        <v>3</v>
      </c>
      <c r="D9" s="9">
        <v>19500</v>
      </c>
      <c r="E9" s="14"/>
      <c r="F9" s="5" t="s">
        <v>471</v>
      </c>
      <c r="G9" s="10" t="s">
        <v>3</v>
      </c>
      <c r="H9" s="9">
        <v>23500</v>
      </c>
      <c r="I9" s="14"/>
    </row>
    <row r="10" spans="2:9" x14ac:dyDescent="0.25">
      <c r="B10" s="5" t="s">
        <v>95</v>
      </c>
      <c r="C10" s="10" t="s">
        <v>3</v>
      </c>
      <c r="D10" s="9">
        <v>21000</v>
      </c>
      <c r="E10" s="14"/>
      <c r="F10" s="14"/>
      <c r="G10" s="14"/>
      <c r="H10" s="14"/>
      <c r="I10" s="14"/>
    </row>
    <row r="11" spans="2:9" x14ac:dyDescent="0.25">
      <c r="B11" s="2" t="s">
        <v>202</v>
      </c>
      <c r="C11" s="2" t="s">
        <v>203</v>
      </c>
      <c r="D11" s="13">
        <v>47500</v>
      </c>
    </row>
    <row r="12" spans="2:9" x14ac:dyDescent="0.25">
      <c r="B12" s="2" t="s">
        <v>150</v>
      </c>
      <c r="C12" s="2" t="s">
        <v>21</v>
      </c>
      <c r="D12" s="13">
        <v>49000</v>
      </c>
    </row>
    <row r="13" spans="2:9" x14ac:dyDescent="0.25">
      <c r="B13" s="5" t="s">
        <v>174</v>
      </c>
      <c r="C13" s="5" t="s">
        <v>175</v>
      </c>
      <c r="D13" s="9">
        <v>41000</v>
      </c>
    </row>
    <row r="14" spans="2:9" x14ac:dyDescent="0.25">
      <c r="B14" s="5" t="s">
        <v>118</v>
      </c>
      <c r="C14" s="5" t="s">
        <v>3</v>
      </c>
      <c r="D14" s="6">
        <v>18700</v>
      </c>
    </row>
    <row r="15" spans="2:9" x14ac:dyDescent="0.25">
      <c r="B15" s="5" t="s">
        <v>118</v>
      </c>
      <c r="C15" s="5" t="s">
        <v>47</v>
      </c>
      <c r="D15" s="6">
        <v>9500</v>
      </c>
    </row>
    <row r="16" spans="2:9" x14ac:dyDescent="0.25">
      <c r="B16" s="5" t="s">
        <v>472</v>
      </c>
      <c r="C16" s="10" t="s">
        <v>67</v>
      </c>
      <c r="D16" s="9">
        <v>39500</v>
      </c>
    </row>
    <row r="17" spans="2:4" x14ac:dyDescent="0.25">
      <c r="B17" s="2" t="s">
        <v>391</v>
      </c>
      <c r="C17" s="2" t="s">
        <v>364</v>
      </c>
      <c r="D17" s="13">
        <v>32700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H20" sqref="H20"/>
    </sheetView>
  </sheetViews>
  <sheetFormatPr baseColWidth="10" defaultRowHeight="15" x14ac:dyDescent="0.25"/>
  <cols>
    <col min="1" max="1" width="15.140625" bestFit="1" customWidth="1"/>
    <col min="2" max="2" width="12.5703125" bestFit="1" customWidth="1"/>
    <col min="3" max="3" width="58.28515625" bestFit="1" customWidth="1"/>
    <col min="4" max="4" width="12.85546875" bestFit="1" customWidth="1"/>
    <col min="5" max="5" width="13.42578125" bestFit="1" customWidth="1"/>
    <col min="8" max="8" width="26" bestFit="1" customWidth="1"/>
  </cols>
  <sheetData>
    <row r="1" spans="1:10" ht="18.75" x14ac:dyDescent="0.3">
      <c r="A1" s="18" t="s">
        <v>192</v>
      </c>
      <c r="B1" s="18" t="s">
        <v>247</v>
      </c>
      <c r="C1" s="19" t="s">
        <v>248</v>
      </c>
      <c r="D1" s="19" t="s">
        <v>193</v>
      </c>
      <c r="E1" s="19" t="s">
        <v>249</v>
      </c>
    </row>
    <row r="2" spans="1:10" x14ac:dyDescent="0.25">
      <c r="A2" s="194" t="s">
        <v>112</v>
      </c>
      <c r="B2" s="200" t="s">
        <v>4</v>
      </c>
      <c r="C2" s="2" t="s">
        <v>113</v>
      </c>
      <c r="D2" s="2" t="s">
        <v>21</v>
      </c>
      <c r="E2" s="13">
        <v>39000</v>
      </c>
    </row>
    <row r="3" spans="1:10" x14ac:dyDescent="0.25">
      <c r="A3" s="195"/>
      <c r="B3" s="225"/>
      <c r="C3" s="2" t="s">
        <v>114</v>
      </c>
      <c r="D3" s="2" t="s">
        <v>21</v>
      </c>
      <c r="E3" s="13">
        <v>36000</v>
      </c>
    </row>
    <row r="4" spans="1:10" x14ac:dyDescent="0.25">
      <c r="A4" s="196"/>
      <c r="B4" s="226"/>
      <c r="C4" s="2" t="s">
        <v>115</v>
      </c>
      <c r="D4" s="2" t="s">
        <v>21</v>
      </c>
      <c r="E4" s="13">
        <v>37000</v>
      </c>
    </row>
    <row r="6" spans="1:10" x14ac:dyDescent="0.25">
      <c r="A6" s="227" t="s">
        <v>195</v>
      </c>
      <c r="B6" s="200" t="s">
        <v>1</v>
      </c>
      <c r="C6" s="2" t="s">
        <v>196</v>
      </c>
      <c r="D6" s="2" t="s">
        <v>125</v>
      </c>
      <c r="E6" s="13">
        <v>17000</v>
      </c>
    </row>
    <row r="7" spans="1:10" x14ac:dyDescent="0.25">
      <c r="A7" s="227"/>
      <c r="B7" s="201"/>
      <c r="C7" s="2" t="s">
        <v>197</v>
      </c>
      <c r="D7" s="2" t="s">
        <v>125</v>
      </c>
      <c r="E7" s="13">
        <v>15000</v>
      </c>
    </row>
    <row r="8" spans="1:10" x14ac:dyDescent="0.25">
      <c r="A8" s="227"/>
      <c r="B8" s="201"/>
      <c r="C8" s="2" t="s">
        <v>197</v>
      </c>
      <c r="D8" s="2" t="s">
        <v>3</v>
      </c>
      <c r="E8" s="13">
        <v>55000</v>
      </c>
    </row>
    <row r="9" spans="1:10" x14ac:dyDescent="0.25">
      <c r="A9" s="227"/>
      <c r="B9" s="201"/>
      <c r="C9" s="2" t="s">
        <v>198</v>
      </c>
      <c r="D9" s="2" t="s">
        <v>125</v>
      </c>
      <c r="E9" s="13">
        <v>15500</v>
      </c>
    </row>
    <row r="10" spans="1:10" x14ac:dyDescent="0.25">
      <c r="A10" s="227"/>
      <c r="B10" s="201"/>
      <c r="C10" s="2" t="s">
        <v>198</v>
      </c>
      <c r="D10" s="2" t="s">
        <v>3</v>
      </c>
      <c r="E10" s="13">
        <v>57000</v>
      </c>
    </row>
    <row r="11" spans="1:10" x14ac:dyDescent="0.25">
      <c r="A11" s="227"/>
      <c r="B11" s="201"/>
      <c r="C11" s="2" t="s">
        <v>199</v>
      </c>
      <c r="D11" s="2" t="s">
        <v>125</v>
      </c>
      <c r="E11" s="13">
        <v>15500</v>
      </c>
      <c r="H11" s="2"/>
      <c r="I11" s="2"/>
      <c r="J11" s="13"/>
    </row>
    <row r="12" spans="1:10" x14ac:dyDescent="0.25">
      <c r="A12" s="227"/>
      <c r="B12" s="201"/>
      <c r="C12" s="2" t="s">
        <v>199</v>
      </c>
      <c r="D12" s="2" t="s">
        <v>3</v>
      </c>
      <c r="E12" s="13">
        <v>57000</v>
      </c>
      <c r="H12" s="2"/>
      <c r="I12" s="2"/>
      <c r="J12" s="13"/>
    </row>
    <row r="13" spans="1:10" x14ac:dyDescent="0.25">
      <c r="A13" s="227"/>
      <c r="B13" s="201"/>
      <c r="C13" s="2" t="s">
        <v>200</v>
      </c>
      <c r="D13" s="2" t="s">
        <v>125</v>
      </c>
      <c r="E13" s="13">
        <v>15500</v>
      </c>
    </row>
    <row r="14" spans="1:10" x14ac:dyDescent="0.25">
      <c r="A14" s="227"/>
      <c r="B14" s="201"/>
      <c r="C14" s="2" t="s">
        <v>200</v>
      </c>
      <c r="D14" s="2" t="s">
        <v>3</v>
      </c>
      <c r="E14" s="13">
        <v>57000</v>
      </c>
    </row>
    <row r="15" spans="1:10" x14ac:dyDescent="0.25">
      <c r="A15" s="227"/>
      <c r="B15" s="201"/>
      <c r="C15" s="2" t="s">
        <v>201</v>
      </c>
      <c r="D15" s="2" t="s">
        <v>125</v>
      </c>
      <c r="E15" s="13">
        <v>15000</v>
      </c>
    </row>
    <row r="16" spans="1:10" x14ac:dyDescent="0.25">
      <c r="A16" s="227"/>
      <c r="B16" s="202"/>
      <c r="C16" s="15" t="s">
        <v>201</v>
      </c>
      <c r="D16" s="15" t="s">
        <v>3</v>
      </c>
      <c r="E16" s="13">
        <v>52000</v>
      </c>
    </row>
    <row r="17" spans="1:5" x14ac:dyDescent="0.25">
      <c r="A17" s="227"/>
      <c r="B17" s="222" t="s">
        <v>4</v>
      </c>
      <c r="C17" s="2" t="s">
        <v>202</v>
      </c>
      <c r="D17" s="2" t="s">
        <v>203</v>
      </c>
      <c r="E17" s="13">
        <v>47500</v>
      </c>
    </row>
    <row r="18" spans="1:5" x14ac:dyDescent="0.25">
      <c r="A18" s="227"/>
      <c r="B18" s="222"/>
      <c r="C18" s="2" t="s">
        <v>204</v>
      </c>
      <c r="D18" s="2" t="s">
        <v>203</v>
      </c>
      <c r="E18" s="13">
        <v>50000</v>
      </c>
    </row>
    <row r="19" spans="1:5" x14ac:dyDescent="0.25">
      <c r="A19" s="227"/>
      <c r="B19" s="222"/>
      <c r="C19" s="2" t="s">
        <v>205</v>
      </c>
      <c r="D19" s="2" t="s">
        <v>203</v>
      </c>
      <c r="E19" s="13">
        <v>47000</v>
      </c>
    </row>
    <row r="20" spans="1:5" x14ac:dyDescent="0.25">
      <c r="A20" s="227"/>
      <c r="B20" s="222"/>
      <c r="C20" s="2" t="s">
        <v>206</v>
      </c>
      <c r="D20" s="2" t="s">
        <v>207</v>
      </c>
      <c r="E20" s="13">
        <v>47700</v>
      </c>
    </row>
    <row r="21" spans="1:5" x14ac:dyDescent="0.25">
      <c r="A21" s="227"/>
      <c r="B21" s="222"/>
      <c r="C21" s="2" t="s">
        <v>208</v>
      </c>
      <c r="D21" s="2" t="s">
        <v>209</v>
      </c>
      <c r="E21" s="13">
        <v>28000</v>
      </c>
    </row>
    <row r="22" spans="1:5" x14ac:dyDescent="0.25">
      <c r="A22" s="227"/>
      <c r="B22" s="222"/>
      <c r="C22" s="2" t="s">
        <v>210</v>
      </c>
      <c r="D22" s="2" t="s">
        <v>209</v>
      </c>
      <c r="E22" s="13">
        <v>28000</v>
      </c>
    </row>
    <row r="23" spans="1:5" x14ac:dyDescent="0.25">
      <c r="A23" s="227"/>
      <c r="B23" s="222"/>
      <c r="C23" s="2" t="s">
        <v>211</v>
      </c>
      <c r="D23" s="2" t="s">
        <v>3</v>
      </c>
      <c r="E23" s="13">
        <v>40000</v>
      </c>
    </row>
    <row r="24" spans="1:5" x14ac:dyDescent="0.25">
      <c r="A24" s="227"/>
      <c r="B24" s="222"/>
      <c r="C24" s="2" t="s">
        <v>212</v>
      </c>
      <c r="D24" s="2" t="s">
        <v>209</v>
      </c>
      <c r="E24" s="13">
        <v>28000</v>
      </c>
    </row>
    <row r="25" spans="1:5" x14ac:dyDescent="0.25">
      <c r="A25" s="227"/>
      <c r="B25" s="222"/>
      <c r="C25" s="2" t="s">
        <v>213</v>
      </c>
      <c r="D25" s="2" t="s">
        <v>203</v>
      </c>
      <c r="E25" s="13">
        <v>53500</v>
      </c>
    </row>
    <row r="26" spans="1:5" x14ac:dyDescent="0.25">
      <c r="A26" s="227"/>
      <c r="B26" s="222"/>
      <c r="C26" s="2" t="s">
        <v>214</v>
      </c>
      <c r="D26" s="2" t="s">
        <v>203</v>
      </c>
      <c r="E26" s="13">
        <v>56000</v>
      </c>
    </row>
    <row r="27" spans="1:5" x14ac:dyDescent="0.25">
      <c r="A27" s="227"/>
      <c r="B27" s="222"/>
      <c r="C27" s="2" t="s">
        <v>215</v>
      </c>
      <c r="D27" s="2" t="s">
        <v>203</v>
      </c>
      <c r="E27" s="13">
        <v>61000</v>
      </c>
    </row>
    <row r="28" spans="1:5" x14ac:dyDescent="0.25">
      <c r="A28" s="227"/>
      <c r="B28" s="222"/>
      <c r="C28" s="2" t="s">
        <v>216</v>
      </c>
      <c r="D28" s="2" t="s">
        <v>203</v>
      </c>
      <c r="E28" s="13">
        <v>50500</v>
      </c>
    </row>
    <row r="29" spans="1:5" x14ac:dyDescent="0.25">
      <c r="A29" s="227"/>
      <c r="B29" s="222"/>
      <c r="C29" s="2" t="s">
        <v>217</v>
      </c>
      <c r="D29" s="2" t="s">
        <v>203</v>
      </c>
      <c r="E29" s="13">
        <v>48000</v>
      </c>
    </row>
    <row r="30" spans="1:5" x14ac:dyDescent="0.25">
      <c r="A30" s="227"/>
      <c r="B30" s="222"/>
      <c r="C30" s="2" t="s">
        <v>218</v>
      </c>
      <c r="D30" s="2" t="s">
        <v>203</v>
      </c>
      <c r="E30" s="13">
        <v>48000</v>
      </c>
    </row>
    <row r="31" spans="1:5" x14ac:dyDescent="0.25">
      <c r="A31" s="227"/>
      <c r="B31" s="222"/>
      <c r="C31" s="2" t="s">
        <v>219</v>
      </c>
      <c r="D31" s="2" t="s">
        <v>203</v>
      </c>
      <c r="E31" s="13">
        <v>49500</v>
      </c>
    </row>
    <row r="33" spans="1:5" x14ac:dyDescent="0.25">
      <c r="A33" s="206" t="s">
        <v>143</v>
      </c>
      <c r="B33" s="200" t="s">
        <v>1</v>
      </c>
      <c r="C33" s="10" t="s">
        <v>144</v>
      </c>
      <c r="D33" s="10" t="s">
        <v>3</v>
      </c>
      <c r="E33" s="9">
        <v>35000</v>
      </c>
    </row>
    <row r="34" spans="1:5" x14ac:dyDescent="0.25">
      <c r="A34" s="207"/>
      <c r="B34" s="201"/>
      <c r="C34" s="10" t="s">
        <v>145</v>
      </c>
      <c r="D34" s="10" t="s">
        <v>146</v>
      </c>
      <c r="E34" s="9">
        <v>11500</v>
      </c>
    </row>
    <row r="35" spans="1:5" x14ac:dyDescent="0.25">
      <c r="A35" s="207"/>
      <c r="B35" s="201"/>
      <c r="C35" s="10" t="s">
        <v>147</v>
      </c>
      <c r="D35" s="10" t="s">
        <v>146</v>
      </c>
      <c r="E35" s="9">
        <v>11500</v>
      </c>
    </row>
    <row r="36" spans="1:5" x14ac:dyDescent="0.25">
      <c r="A36" s="207"/>
      <c r="B36" s="201"/>
      <c r="C36" s="10" t="s">
        <v>148</v>
      </c>
      <c r="D36" s="10" t="s">
        <v>3</v>
      </c>
      <c r="E36" s="9">
        <v>36000</v>
      </c>
    </row>
    <row r="37" spans="1:5" x14ac:dyDescent="0.25">
      <c r="A37" s="207"/>
      <c r="B37" s="201"/>
      <c r="C37" s="10" t="s">
        <v>149</v>
      </c>
      <c r="D37" s="10" t="s">
        <v>146</v>
      </c>
      <c r="E37" s="9">
        <v>11500</v>
      </c>
    </row>
    <row r="38" spans="1:5" x14ac:dyDescent="0.25">
      <c r="A38" s="207"/>
      <c r="B38" s="202"/>
      <c r="C38" s="10" t="s">
        <v>149</v>
      </c>
      <c r="D38" s="10" t="s">
        <v>3</v>
      </c>
      <c r="E38" s="9">
        <v>38000</v>
      </c>
    </row>
    <row r="39" spans="1:5" x14ac:dyDescent="0.25">
      <c r="A39" s="207"/>
      <c r="B39" s="222" t="s">
        <v>4</v>
      </c>
      <c r="C39" s="2" t="s">
        <v>150</v>
      </c>
      <c r="D39" s="2" t="s">
        <v>21</v>
      </c>
      <c r="E39" s="13">
        <v>49000</v>
      </c>
    </row>
    <row r="40" spans="1:5" x14ac:dyDescent="0.25">
      <c r="A40" s="207"/>
      <c r="B40" s="221"/>
      <c r="C40" s="2" t="s">
        <v>151</v>
      </c>
      <c r="D40" s="2" t="s">
        <v>21</v>
      </c>
      <c r="E40" s="13">
        <v>48500</v>
      </c>
    </row>
    <row r="41" spans="1:5" x14ac:dyDescent="0.25">
      <c r="A41" s="207"/>
      <c r="B41" s="221"/>
      <c r="C41" s="2" t="s">
        <v>152</v>
      </c>
      <c r="D41" s="2" t="s">
        <v>41</v>
      </c>
      <c r="E41" s="13">
        <v>48000</v>
      </c>
    </row>
    <row r="42" spans="1:5" x14ac:dyDescent="0.25">
      <c r="A42" s="207"/>
      <c r="B42" s="221"/>
      <c r="C42" s="2" t="s">
        <v>153</v>
      </c>
      <c r="D42" s="2" t="s">
        <v>21</v>
      </c>
      <c r="E42" s="13">
        <v>51500</v>
      </c>
    </row>
    <row r="43" spans="1:5" x14ac:dyDescent="0.25">
      <c r="A43" s="208"/>
      <c r="B43" s="221"/>
      <c r="C43" s="2" t="s">
        <v>154</v>
      </c>
      <c r="D43" s="2" t="s">
        <v>41</v>
      </c>
      <c r="E43" s="13">
        <v>39000</v>
      </c>
    </row>
  </sheetData>
  <mergeCells count="8">
    <mergeCell ref="A33:A43"/>
    <mergeCell ref="B33:B38"/>
    <mergeCell ref="B39:B43"/>
    <mergeCell ref="A2:A4"/>
    <mergeCell ref="B2:B4"/>
    <mergeCell ref="A6:A31"/>
    <mergeCell ref="B6:B16"/>
    <mergeCell ref="B17:B3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4"/>
  <sheetViews>
    <sheetView topLeftCell="A32" workbookViewId="0">
      <selection activeCell="B2" sqref="B2:E44"/>
    </sheetView>
  </sheetViews>
  <sheetFormatPr baseColWidth="10" defaultRowHeight="15" x14ac:dyDescent="0.25"/>
  <cols>
    <col min="2" max="2" width="12.5703125" bestFit="1" customWidth="1"/>
    <col min="3" max="3" width="58.28515625" bestFit="1" customWidth="1"/>
    <col min="4" max="4" width="12.85546875" bestFit="1" customWidth="1"/>
    <col min="5" max="5" width="13.42578125" bestFit="1" customWidth="1"/>
  </cols>
  <sheetData>
    <row r="2" spans="2:5" ht="18.75" x14ac:dyDescent="0.3">
      <c r="B2" s="18" t="s">
        <v>247</v>
      </c>
      <c r="C2" s="19" t="s">
        <v>248</v>
      </c>
      <c r="D2" s="19" t="s">
        <v>193</v>
      </c>
      <c r="E2" s="19" t="s">
        <v>249</v>
      </c>
    </row>
    <row r="3" spans="2:5" x14ac:dyDescent="0.25">
      <c r="B3" s="200" t="s">
        <v>4</v>
      </c>
      <c r="C3" s="2" t="s">
        <v>113</v>
      </c>
      <c r="D3" s="2" t="s">
        <v>21</v>
      </c>
      <c r="E3" s="13">
        <v>39000</v>
      </c>
    </row>
    <row r="4" spans="2:5" x14ac:dyDescent="0.25">
      <c r="B4" s="225"/>
      <c r="C4" s="2" t="s">
        <v>114</v>
      </c>
      <c r="D4" s="2" t="s">
        <v>21</v>
      </c>
      <c r="E4" s="13">
        <v>36000</v>
      </c>
    </row>
    <row r="5" spans="2:5" x14ac:dyDescent="0.25">
      <c r="B5" s="226"/>
      <c r="C5" s="2" t="s">
        <v>115</v>
      </c>
      <c r="D5" s="2" t="s">
        <v>21</v>
      </c>
      <c r="E5" s="13">
        <v>37000</v>
      </c>
    </row>
    <row r="7" spans="2:5" x14ac:dyDescent="0.25">
      <c r="B7" s="200" t="s">
        <v>1</v>
      </c>
      <c r="C7" s="2" t="s">
        <v>196</v>
      </c>
      <c r="D7" s="2" t="s">
        <v>125</v>
      </c>
      <c r="E7" s="13">
        <v>17000</v>
      </c>
    </row>
    <row r="8" spans="2:5" x14ac:dyDescent="0.25">
      <c r="B8" s="201"/>
      <c r="C8" s="2" t="s">
        <v>197</v>
      </c>
      <c r="D8" s="2" t="s">
        <v>125</v>
      </c>
      <c r="E8" s="13">
        <v>15000</v>
      </c>
    </row>
    <row r="9" spans="2:5" x14ac:dyDescent="0.25">
      <c r="B9" s="201"/>
      <c r="C9" s="2" t="s">
        <v>197</v>
      </c>
      <c r="D9" s="2" t="s">
        <v>3</v>
      </c>
      <c r="E9" s="13">
        <v>55000</v>
      </c>
    </row>
    <row r="10" spans="2:5" x14ac:dyDescent="0.25">
      <c r="B10" s="201"/>
      <c r="C10" s="2" t="s">
        <v>198</v>
      </c>
      <c r="D10" s="2" t="s">
        <v>125</v>
      </c>
      <c r="E10" s="13">
        <v>15500</v>
      </c>
    </row>
    <row r="11" spans="2:5" x14ac:dyDescent="0.25">
      <c r="B11" s="201"/>
      <c r="C11" s="2" t="s">
        <v>198</v>
      </c>
      <c r="D11" s="2" t="s">
        <v>3</v>
      </c>
      <c r="E11" s="13">
        <v>57000</v>
      </c>
    </row>
    <row r="12" spans="2:5" x14ac:dyDescent="0.25">
      <c r="B12" s="201"/>
      <c r="C12" s="2" t="s">
        <v>199</v>
      </c>
      <c r="D12" s="2" t="s">
        <v>125</v>
      </c>
      <c r="E12" s="13">
        <v>15500</v>
      </c>
    </row>
    <row r="13" spans="2:5" x14ac:dyDescent="0.25">
      <c r="B13" s="201"/>
      <c r="C13" s="2" t="s">
        <v>199</v>
      </c>
      <c r="D13" s="2" t="s">
        <v>3</v>
      </c>
      <c r="E13" s="13">
        <v>57000</v>
      </c>
    </row>
    <row r="14" spans="2:5" x14ac:dyDescent="0.25">
      <c r="B14" s="201"/>
      <c r="C14" s="2" t="s">
        <v>200</v>
      </c>
      <c r="D14" s="2" t="s">
        <v>125</v>
      </c>
      <c r="E14" s="13">
        <v>15500</v>
      </c>
    </row>
    <row r="15" spans="2:5" x14ac:dyDescent="0.25">
      <c r="B15" s="201"/>
      <c r="C15" s="2" t="s">
        <v>200</v>
      </c>
      <c r="D15" s="2" t="s">
        <v>3</v>
      </c>
      <c r="E15" s="13">
        <v>57000</v>
      </c>
    </row>
    <row r="16" spans="2:5" x14ac:dyDescent="0.25">
      <c r="B16" s="201"/>
      <c r="C16" s="2" t="s">
        <v>201</v>
      </c>
      <c r="D16" s="2" t="s">
        <v>125</v>
      </c>
      <c r="E16" s="13">
        <v>15000</v>
      </c>
    </row>
    <row r="17" spans="2:5" x14ac:dyDescent="0.25">
      <c r="B17" s="202"/>
      <c r="C17" s="15" t="s">
        <v>201</v>
      </c>
      <c r="D17" s="15" t="s">
        <v>3</v>
      </c>
      <c r="E17" s="13">
        <v>52000</v>
      </c>
    </row>
    <row r="18" spans="2:5" x14ac:dyDescent="0.25">
      <c r="B18" s="222" t="s">
        <v>4</v>
      </c>
      <c r="C18" s="2" t="s">
        <v>202</v>
      </c>
      <c r="D18" s="2" t="s">
        <v>203</v>
      </c>
      <c r="E18" s="13">
        <v>47500</v>
      </c>
    </row>
    <row r="19" spans="2:5" x14ac:dyDescent="0.25">
      <c r="B19" s="222"/>
      <c r="C19" s="2" t="s">
        <v>204</v>
      </c>
      <c r="D19" s="2" t="s">
        <v>203</v>
      </c>
      <c r="E19" s="13">
        <v>50000</v>
      </c>
    </row>
    <row r="20" spans="2:5" x14ac:dyDescent="0.25">
      <c r="B20" s="222"/>
      <c r="C20" s="2" t="s">
        <v>205</v>
      </c>
      <c r="D20" s="2" t="s">
        <v>203</v>
      </c>
      <c r="E20" s="13">
        <v>47000</v>
      </c>
    </row>
    <row r="21" spans="2:5" x14ac:dyDescent="0.25">
      <c r="B21" s="222"/>
      <c r="C21" s="2" t="s">
        <v>206</v>
      </c>
      <c r="D21" s="2" t="s">
        <v>207</v>
      </c>
      <c r="E21" s="13">
        <v>47700</v>
      </c>
    </row>
    <row r="22" spans="2:5" x14ac:dyDescent="0.25">
      <c r="B22" s="222"/>
      <c r="C22" s="2" t="s">
        <v>208</v>
      </c>
      <c r="D22" s="2" t="s">
        <v>209</v>
      </c>
      <c r="E22" s="13">
        <v>28000</v>
      </c>
    </row>
    <row r="23" spans="2:5" x14ac:dyDescent="0.25">
      <c r="B23" s="222"/>
      <c r="C23" s="2" t="s">
        <v>210</v>
      </c>
      <c r="D23" s="2" t="s">
        <v>209</v>
      </c>
      <c r="E23" s="13">
        <v>28000</v>
      </c>
    </row>
    <row r="24" spans="2:5" x14ac:dyDescent="0.25">
      <c r="B24" s="222"/>
      <c r="C24" s="2" t="s">
        <v>211</v>
      </c>
      <c r="D24" s="2" t="s">
        <v>3</v>
      </c>
      <c r="E24" s="13">
        <v>40000</v>
      </c>
    </row>
    <row r="25" spans="2:5" x14ac:dyDescent="0.25">
      <c r="B25" s="222"/>
      <c r="C25" s="2" t="s">
        <v>212</v>
      </c>
      <c r="D25" s="2" t="s">
        <v>209</v>
      </c>
      <c r="E25" s="13">
        <v>28000</v>
      </c>
    </row>
    <row r="26" spans="2:5" x14ac:dyDescent="0.25">
      <c r="B26" s="222"/>
      <c r="C26" s="2" t="s">
        <v>213</v>
      </c>
      <c r="D26" s="2" t="s">
        <v>203</v>
      </c>
      <c r="E26" s="13">
        <v>53500</v>
      </c>
    </row>
    <row r="27" spans="2:5" x14ac:dyDescent="0.25">
      <c r="B27" s="222"/>
      <c r="C27" s="2" t="s">
        <v>214</v>
      </c>
      <c r="D27" s="2" t="s">
        <v>203</v>
      </c>
      <c r="E27" s="13">
        <v>56000</v>
      </c>
    </row>
    <row r="28" spans="2:5" x14ac:dyDescent="0.25">
      <c r="B28" s="222"/>
      <c r="C28" s="2" t="s">
        <v>215</v>
      </c>
      <c r="D28" s="2" t="s">
        <v>203</v>
      </c>
      <c r="E28" s="13">
        <v>61000</v>
      </c>
    </row>
    <row r="29" spans="2:5" x14ac:dyDescent="0.25">
      <c r="B29" s="222"/>
      <c r="C29" s="2" t="s">
        <v>216</v>
      </c>
      <c r="D29" s="2" t="s">
        <v>203</v>
      </c>
      <c r="E29" s="13">
        <v>50500</v>
      </c>
    </row>
    <row r="30" spans="2:5" x14ac:dyDescent="0.25">
      <c r="B30" s="222"/>
      <c r="C30" s="2" t="s">
        <v>217</v>
      </c>
      <c r="D30" s="2" t="s">
        <v>203</v>
      </c>
      <c r="E30" s="13">
        <v>48000</v>
      </c>
    </row>
    <row r="31" spans="2:5" x14ac:dyDescent="0.25">
      <c r="B31" s="222"/>
      <c r="C31" s="2" t="s">
        <v>218</v>
      </c>
      <c r="D31" s="2" t="s">
        <v>203</v>
      </c>
      <c r="E31" s="13">
        <v>48000</v>
      </c>
    </row>
    <row r="32" spans="2:5" x14ac:dyDescent="0.25">
      <c r="B32" s="222"/>
      <c r="C32" s="2" t="s">
        <v>219</v>
      </c>
      <c r="D32" s="2" t="s">
        <v>203</v>
      </c>
      <c r="E32" s="13">
        <v>49500</v>
      </c>
    </row>
    <row r="34" spans="2:5" x14ac:dyDescent="0.25">
      <c r="B34" s="200" t="s">
        <v>1</v>
      </c>
      <c r="C34" s="10" t="s">
        <v>144</v>
      </c>
      <c r="D34" s="10" t="s">
        <v>3</v>
      </c>
      <c r="E34" s="9">
        <v>35000</v>
      </c>
    </row>
    <row r="35" spans="2:5" x14ac:dyDescent="0.25">
      <c r="B35" s="201"/>
      <c r="C35" s="10" t="s">
        <v>145</v>
      </c>
      <c r="D35" s="10" t="s">
        <v>146</v>
      </c>
      <c r="E35" s="9">
        <v>11500</v>
      </c>
    </row>
    <row r="36" spans="2:5" x14ac:dyDescent="0.25">
      <c r="B36" s="201"/>
      <c r="C36" s="10" t="s">
        <v>147</v>
      </c>
      <c r="D36" s="10" t="s">
        <v>146</v>
      </c>
      <c r="E36" s="9">
        <v>11500</v>
      </c>
    </row>
    <row r="37" spans="2:5" x14ac:dyDescent="0.25">
      <c r="B37" s="201"/>
      <c r="C37" s="10" t="s">
        <v>148</v>
      </c>
      <c r="D37" s="10" t="s">
        <v>3</v>
      </c>
      <c r="E37" s="9">
        <v>36000</v>
      </c>
    </row>
    <row r="38" spans="2:5" x14ac:dyDescent="0.25">
      <c r="B38" s="201"/>
      <c r="C38" s="10" t="s">
        <v>149</v>
      </c>
      <c r="D38" s="10" t="s">
        <v>146</v>
      </c>
      <c r="E38" s="9">
        <v>11500</v>
      </c>
    </row>
    <row r="39" spans="2:5" x14ac:dyDescent="0.25">
      <c r="B39" s="202"/>
      <c r="C39" s="10" t="s">
        <v>149</v>
      </c>
      <c r="D39" s="10" t="s">
        <v>3</v>
      </c>
      <c r="E39" s="9">
        <v>38000</v>
      </c>
    </row>
    <row r="40" spans="2:5" x14ac:dyDescent="0.25">
      <c r="B40" s="222" t="s">
        <v>4</v>
      </c>
      <c r="C40" s="2" t="s">
        <v>150</v>
      </c>
      <c r="D40" s="2" t="s">
        <v>21</v>
      </c>
      <c r="E40" s="13">
        <v>49000</v>
      </c>
    </row>
    <row r="41" spans="2:5" x14ac:dyDescent="0.25">
      <c r="B41" s="221"/>
      <c r="C41" s="2" t="s">
        <v>151</v>
      </c>
      <c r="D41" s="2" t="s">
        <v>21</v>
      </c>
      <c r="E41" s="13">
        <v>48500</v>
      </c>
    </row>
    <row r="42" spans="2:5" x14ac:dyDescent="0.25">
      <c r="B42" s="221"/>
      <c r="C42" s="2" t="s">
        <v>152</v>
      </c>
      <c r="D42" s="2" t="s">
        <v>41</v>
      </c>
      <c r="E42" s="13">
        <v>48000</v>
      </c>
    </row>
    <row r="43" spans="2:5" x14ac:dyDescent="0.25">
      <c r="B43" s="221"/>
      <c r="C43" s="2" t="s">
        <v>153</v>
      </c>
      <c r="D43" s="2" t="s">
        <v>21</v>
      </c>
      <c r="E43" s="13">
        <v>51500</v>
      </c>
    </row>
    <row r="44" spans="2:5" x14ac:dyDescent="0.25">
      <c r="B44" s="221"/>
      <c r="C44" s="2" t="s">
        <v>154</v>
      </c>
      <c r="D44" s="2" t="s">
        <v>41</v>
      </c>
      <c r="E44" s="13">
        <v>39000</v>
      </c>
    </row>
  </sheetData>
  <mergeCells count="5">
    <mergeCell ref="B3:B5"/>
    <mergeCell ref="B7:B17"/>
    <mergeCell ref="B18:B32"/>
    <mergeCell ref="B34:B39"/>
    <mergeCell ref="B40:B4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INDICE</vt:lpstr>
      <vt:lpstr>1.- GEPSA</vt:lpstr>
      <vt:lpstr>2.- TRESKO</vt:lpstr>
      <vt:lpstr>3.- CAROZZI</vt:lpstr>
      <vt:lpstr>5.- CAUPOLICAN</vt:lpstr>
      <vt:lpstr>4.- PROA</vt:lpstr>
      <vt:lpstr>6.- GORCHEN</vt:lpstr>
      <vt:lpstr>7.- ALCA</vt:lpstr>
      <vt:lpstr>8.- NB</vt:lpstr>
      <vt:lpstr>9.- COOPRINSEN</vt:lpstr>
      <vt:lpstr>10.- PURINA</vt:lpstr>
      <vt:lpstr>Hoja7</vt:lpstr>
      <vt:lpstr>10.5.- PURINA PROPLAN</vt:lpstr>
      <vt:lpstr>11.- DRAG PHARMA</vt:lpstr>
      <vt:lpstr>12.- FRAGUS</vt:lpstr>
      <vt:lpstr>13.-ALLENDES</vt:lpstr>
      <vt:lpstr>14.- FREE GO</vt:lpstr>
      <vt:lpstr>Hoja2</vt:lpstr>
      <vt:lpstr>15.- PUNTA DE CORTES</vt:lpstr>
      <vt:lpstr>16.- AGROVET</vt:lpstr>
      <vt:lpstr>17,- ARENAS</vt:lpstr>
      <vt:lpstr>18,- ANTIPARASITARIOS</vt:lpstr>
      <vt:lpstr>19,- SNACK</vt:lpstr>
      <vt:lpstr>20,- HRAZ</vt:lpstr>
      <vt:lpstr>21,- JUGUETES</vt:lpstr>
      <vt:lpstr>NUTRINGEN</vt:lpstr>
      <vt:lpstr>21,- MOR</vt:lpstr>
      <vt:lpstr>22,- NUTRIQUE</vt:lpstr>
      <vt:lpstr>BASE</vt:lpstr>
      <vt:lpstr>Hoja1</vt:lpstr>
      <vt:lpstr>Hoja3</vt:lpstr>
      <vt:lpstr>Hoja4</vt:lpstr>
      <vt:lpstr>Hoja6</vt:lpstr>
      <vt:lpstr>Hoja5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2026-09-14T13:21:12Z</cp:lastPrinted>
  <dcterms:created xsi:type="dcterms:W3CDTF">2025-09-01T12:51:08Z</dcterms:created>
  <dcterms:modified xsi:type="dcterms:W3CDTF">2026-09-25T12:41:35Z</dcterms:modified>
</cp:coreProperties>
</file>